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DELL\Desktop\Placement\Project\"/>
    </mc:Choice>
  </mc:AlternateContent>
  <xr:revisionPtr revIDLastSave="0" documentId="8_{954A1253-99CE-46E2-B1EF-F9ABC0F32D79}" xr6:coauthVersionLast="47" xr6:coauthVersionMax="47" xr10:uidLastSave="{00000000-0000-0000-0000-000000000000}"/>
  <bookViews>
    <workbookView xWindow="-110" yWindow="-110" windowWidth="19420" windowHeight="10300" xr2:uid="{D2535E7D-2636-4071-9C32-6E099BFCF2B4}"/>
  </bookViews>
  <sheets>
    <sheet name="Dashboard" sheetId="1" r:id="rId1"/>
    <sheet name="Purchases" sheetId="2" r:id="rId2"/>
    <sheet name="Sales" sheetId="3" r:id="rId3"/>
    <sheet name="Calculations" sheetId="4" r:id="rId4"/>
  </sheets>
  <definedNames>
    <definedName name="_xlcn.WorksheetConnection_InventoryTrackerDashboardwithFIFOCalculations_start.xlsxPurchases1" hidden="1">Purchases[]</definedName>
    <definedName name="_xlcn.WorksheetConnection_InventoryTrackerDashboardwithFIFOCalculations_start.xlsxRegister1" hidden="1">Register[]</definedName>
    <definedName name="_xlcn.WorksheetConnection_InventoryTrackerDashboardwithFIFOCalculations_start.xlsxSales1" hidden="1">Sales[]</definedName>
    <definedName name="Slicer_Register">#N/A</definedName>
  </definedNames>
  <calcPr calcId="191029"/>
  <pivotCaches>
    <pivotCache cacheId="183" r:id="rId5"/>
    <pivotCache cacheId="186" r:id="rId6"/>
    <pivotCache cacheId="189" r:id="rId7"/>
  </pivotCaches>
  <extLst>
    <ext xmlns:x14="http://schemas.microsoft.com/office/spreadsheetml/2009/9/main" uri="{876F7934-8845-4945-9796-88D515C7AA90}">
      <x14:pivotCaches>
        <pivotCache cacheId="96" r:id="rId8"/>
      </x14:pivotCaches>
    </ex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 name="Sales" connection="WorksheetConnection_Inventory Tracker Dashboard with FIFO Calculations_start.xlsx!Sales"/>
          <x15:modelTable id="Register" name="Register" connection="WorksheetConnection_Inventory Tracker Dashboard with FIFO Calculations_start.xlsx!Register"/>
          <x15:modelTable id="Purchases" name="Purchases" connection="WorksheetConnection_Inventory Tracker Dashboard with FIFO Calculations_start.xlsx!Purchases"/>
          <x15:modelTable id="Calendar" name="Calendar" connection="Connection"/>
        </x15:modelTables>
        <x15:modelRelationships>
          <x15:modelRelationship fromTable="Purchases" fromColumn="Item" toTable="Register" toColumn="Register"/>
          <x15:modelRelationship fromTable="Purchases" fromColumn="Purchase Date" toTable="Calendar" toColumn="Date"/>
          <x15:modelRelationship fromTable="Sales" fromColumn="Date" toTable="Calendar" toColumn="Date"/>
          <x15:modelRelationship fromTable="Sales" fromColumn="Item" toTable="Register" toColumn="Register"/>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8" i="4" l="1"/>
  <c r="G4" i="2"/>
  <c r="G8" i="2" s="1"/>
  <c r="H8" i="2" s="1"/>
  <c r="J8" i="2" s="1"/>
  <c r="G5" i="2"/>
  <c r="G10" i="2" s="1"/>
  <c r="G17" i="2" s="1"/>
  <c r="I17" i="2" s="1"/>
  <c r="G6" i="2"/>
  <c r="G7" i="2" s="1"/>
  <c r="F4" i="2"/>
  <c r="F5" i="2"/>
  <c r="F6" i="2"/>
  <c r="F7" i="2"/>
  <c r="F8" i="2"/>
  <c r="F9" i="2"/>
  <c r="F10" i="2"/>
  <c r="F11" i="2"/>
  <c r="F12" i="2"/>
  <c r="F13" i="2"/>
  <c r="F14" i="2"/>
  <c r="F15" i="2"/>
  <c r="F16" i="2"/>
  <c r="F17" i="2"/>
  <c r="H7" i="2" l="1"/>
  <c r="J7" i="2" s="1"/>
  <c r="I7" i="2"/>
  <c r="H10" i="2"/>
  <c r="J10" i="2" s="1"/>
  <c r="I8" i="2"/>
  <c r="H4" i="2"/>
  <c r="J4" i="2" s="1"/>
  <c r="I10" i="2"/>
  <c r="H17" i="2"/>
  <c r="J17" i="2" s="1"/>
  <c r="I6" i="2"/>
  <c r="I5" i="2"/>
  <c r="G13" i="2"/>
  <c r="H6" i="2"/>
  <c r="J6" i="2" s="1"/>
  <c r="I4" i="2"/>
  <c r="H5" i="2"/>
  <c r="J5" i="2" s="1"/>
  <c r="G9" i="2"/>
  <c r="I9" i="2" l="1"/>
  <c r="H9" i="2"/>
  <c r="J9" i="2" s="1"/>
  <c r="I13" i="2"/>
  <c r="H13" i="2"/>
  <c r="J13" i="2" s="1"/>
  <c r="G16" i="2"/>
  <c r="G11" i="2"/>
  <c r="H11" i="2" l="1"/>
  <c r="J11" i="2" s="1"/>
  <c r="I11" i="2"/>
  <c r="G12" i="2"/>
  <c r="G14" i="2"/>
  <c r="H16" i="2"/>
  <c r="J16" i="2" s="1"/>
  <c r="I16" i="2"/>
  <c r="I12" i="2" l="1"/>
  <c r="H12" i="2"/>
  <c r="J12" i="2" s="1"/>
  <c r="H14" i="2"/>
  <c r="J14" i="2" s="1"/>
  <c r="I14" i="2"/>
  <c r="G15" i="2"/>
  <c r="H15" i="2" l="1"/>
  <c r="J15" i="2" s="1"/>
  <c r="I1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B011825-D966-4AD5-8A63-3FB687B7C664}" name="Connection" type="104" refreshedVersion="0" background="1">
    <extLst>
      <ext xmlns:x15="http://schemas.microsoft.com/office/spreadsheetml/2010/11/main" uri="{DE250136-89BD-433C-8126-D09CA5730AF9}">
        <x15:connection id="Calendar"/>
      </ext>
    </extLst>
  </connection>
  <connection id="2" xr16:uid="{4950FC84-0FD9-4457-ACF5-6EFE9C6F379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14F84C03-2C97-407E-8F50-A896EECD60BC}" name="WorksheetConnection_Inventory Tracker Dashboard with FIFO Calculations_start.xlsx!Purchases" type="102" refreshedVersion="8" minRefreshableVersion="5">
    <extLst>
      <ext xmlns:x15="http://schemas.microsoft.com/office/spreadsheetml/2010/11/main" uri="{DE250136-89BD-433C-8126-D09CA5730AF9}">
        <x15:connection id="Purchases">
          <x15:rangePr sourceName="_xlcn.WorksheetConnection_InventoryTrackerDashboardwithFIFOCalculations_start.xlsxPurchases1"/>
        </x15:connection>
      </ext>
    </extLst>
  </connection>
  <connection id="4" xr16:uid="{5B1CAF45-D21C-4B11-9EBC-C8AAFE056DE8}" name="WorksheetConnection_Inventory Tracker Dashboard with FIFO Calculations_start.xlsx!Register" type="102" refreshedVersion="8" minRefreshableVersion="5">
    <extLst>
      <ext xmlns:x15="http://schemas.microsoft.com/office/spreadsheetml/2010/11/main" uri="{DE250136-89BD-433C-8126-D09CA5730AF9}">
        <x15:connection id="Register">
          <x15:rangePr sourceName="_xlcn.WorksheetConnection_InventoryTrackerDashboardwithFIFOCalculations_start.xlsxRegister1"/>
        </x15:connection>
      </ext>
    </extLst>
  </connection>
  <connection id="5" xr16:uid="{A8E3BB89-DEA6-44DA-A33F-6B64F3FF5B1F}" name="WorksheetConnection_Inventory Tracker Dashboard with FIFO Calculations_start.xlsx!Sales" type="102" refreshedVersion="8" minRefreshableVersion="5">
    <extLst>
      <ext xmlns:x15="http://schemas.microsoft.com/office/spreadsheetml/2010/11/main" uri="{DE250136-89BD-433C-8126-D09CA5730AF9}">
        <x15:connection id="Sales">
          <x15:rangePr sourceName="_xlcn.WorksheetConnection_InventoryTrackerDashboardwithFIFOCalculations_start.xlsxSales1"/>
        </x15:connection>
      </ext>
    </extLst>
  </connection>
</connections>
</file>

<file path=xl/sharedStrings.xml><?xml version="1.0" encoding="utf-8"?>
<sst xmlns="http://schemas.openxmlformats.org/spreadsheetml/2006/main" count="72" uniqueCount="42">
  <si>
    <t>Purchase Date</t>
  </si>
  <si>
    <t>Item</t>
  </si>
  <si>
    <t>Qty Purchased</t>
  </si>
  <si>
    <t>Unit Price</t>
  </si>
  <si>
    <t>Units Sold</t>
  </si>
  <si>
    <t>Units Remaining</t>
  </si>
  <si>
    <t>Cost of Goods Sold</t>
  </si>
  <si>
    <t>Inventory Value</t>
  </si>
  <si>
    <t>Mango</t>
  </si>
  <si>
    <t>Orange</t>
  </si>
  <si>
    <t>Banana</t>
  </si>
  <si>
    <t>Register</t>
  </si>
  <si>
    <t>Cost of Qty Purchased</t>
  </si>
  <si>
    <t>Date</t>
  </si>
  <si>
    <t>Quantity Sold</t>
  </si>
  <si>
    <t>Selling Price</t>
  </si>
  <si>
    <t>Revenue</t>
  </si>
  <si>
    <t>COGS</t>
  </si>
  <si>
    <t>Profit</t>
  </si>
  <si>
    <t>Quantity Remaining</t>
  </si>
  <si>
    <t>Qty sold</t>
  </si>
  <si>
    <t>Quantity Purchased</t>
  </si>
  <si>
    <t>Revenue-GHS</t>
  </si>
  <si>
    <t>Cost of Goods Sold-GHS</t>
  </si>
  <si>
    <t xml:space="preserve">Profit-GHS </t>
  </si>
  <si>
    <t>Quantity sold vs Quantity Purchased</t>
  </si>
  <si>
    <t>Trend of  Qty Sold and Purchased</t>
  </si>
  <si>
    <t>Values</t>
  </si>
  <si>
    <t>Grand Total</t>
  </si>
  <si>
    <t>May</t>
  </si>
  <si>
    <t>Row Labels</t>
  </si>
  <si>
    <t>Apr</t>
  </si>
  <si>
    <t>Aug</t>
  </si>
  <si>
    <t>Dec</t>
  </si>
  <si>
    <t>Feb</t>
  </si>
  <si>
    <t>Jan</t>
  </si>
  <si>
    <t>Jul</t>
  </si>
  <si>
    <t>Jun</t>
  </si>
  <si>
    <t>Mar</t>
  </si>
  <si>
    <t>Nov</t>
  </si>
  <si>
    <t>Oct</t>
  </si>
  <si>
    <t>Sep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</si>
</sst>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11"/>
      <color rgb="FF0000FF"/>
      <name val="Aptos Narrow"/>
      <family val="2"/>
      <scheme val="minor"/>
    </font>
    <font>
      <sz val="11"/>
      <color theme="1"/>
      <name val="Aptos Narrow"/>
      <family val="2"/>
      <scheme val="minor"/>
    </font>
    <font>
      <u/>
      <sz val="11"/>
      <color theme="1"/>
      <name val="Aptos Narrow"/>
      <family val="2"/>
      <scheme val="minor"/>
    </font>
  </fonts>
  <fills count="3">
    <fill>
      <patternFill patternType="none"/>
    </fill>
    <fill>
      <patternFill patternType="gray125"/>
    </fill>
    <fill>
      <patternFill patternType="solid">
        <fgColor rgb="FFF2F2F2"/>
        <bgColor indexed="64"/>
      </patternFill>
    </fill>
  </fills>
  <borders count="14">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style="thin">
        <color theme="0" tint="-0.499984740745262"/>
      </right>
      <top style="thin">
        <color theme="0" tint="-0.499984740745262"/>
      </top>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top/>
      <bottom style="thin">
        <color theme="0" tint="-0.499984740745262"/>
      </bottom>
      <diagonal/>
    </border>
    <border>
      <left/>
      <right/>
      <top style="thin">
        <color theme="0" tint="-0.499984740745262"/>
      </top>
      <bottom style="thin">
        <color theme="0" tint="-0.499984740745262"/>
      </bottom>
      <diagonal/>
    </border>
    <border>
      <left/>
      <right/>
      <top/>
      <bottom style="thin">
        <color indexed="64"/>
      </bottom>
      <diagonal/>
    </border>
  </borders>
  <cellStyleXfs count="2">
    <xf numFmtId="0" fontId="0" fillId="0" borderId="0"/>
    <xf numFmtId="9" fontId="3" fillId="0" borderId="0" applyFont="0" applyFill="0" applyBorder="0" applyAlignment="0" applyProtection="0"/>
  </cellStyleXfs>
  <cellXfs count="29">
    <xf numFmtId="0" fontId="0" fillId="0" borderId="0" xfId="0"/>
    <xf numFmtId="0" fontId="0" fillId="2" borderId="0" xfId="0" applyFill="1"/>
    <xf numFmtId="0" fontId="0" fillId="0" borderId="1" xfId="0" applyBorder="1"/>
    <xf numFmtId="0" fontId="2" fillId="0" borderId="1" xfId="0" applyFont="1" applyBorder="1"/>
    <xf numFmtId="4" fontId="2" fillId="0" borderId="1" xfId="0" applyNumberFormat="1" applyFont="1" applyBorder="1"/>
    <xf numFmtId="15" fontId="2" fillId="0" borderId="2" xfId="0" applyNumberFormat="1" applyFont="1"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15" fontId="2" fillId="0" borderId="7" xfId="0" applyNumberFormat="1" applyFont="1" applyBorder="1"/>
    <xf numFmtId="0" fontId="2" fillId="0" borderId="8" xfId="0" applyFont="1" applyBorder="1"/>
    <xf numFmtId="4" fontId="2" fillId="0" borderId="8" xfId="0" applyNumberFormat="1" applyFont="1" applyBorder="1"/>
    <xf numFmtId="0" fontId="0" fillId="0" borderId="8" xfId="0" applyBorder="1"/>
    <xf numFmtId="0" fontId="0" fillId="0" borderId="9" xfId="0" applyBorder="1"/>
    <xf numFmtId="0" fontId="0" fillId="0" borderId="10" xfId="0" applyBorder="1"/>
    <xf numFmtId="0" fontId="0" fillId="0" borderId="6" xfId="0" applyBorder="1"/>
    <xf numFmtId="0" fontId="0" fillId="0" borderId="4" xfId="0" applyBorder="1"/>
    <xf numFmtId="0" fontId="0" fillId="0" borderId="12" xfId="0" applyBorder="1"/>
    <xf numFmtId="0" fontId="1" fillId="0" borderId="11" xfId="0" applyFont="1" applyBorder="1"/>
    <xf numFmtId="0" fontId="0" fillId="0" borderId="5" xfId="0" applyBorder="1"/>
    <xf numFmtId="4" fontId="2" fillId="0" borderId="3" xfId="0" applyNumberFormat="1" applyFont="1" applyBorder="1"/>
    <xf numFmtId="4" fontId="2" fillId="0" borderId="9" xfId="0" applyNumberFormat="1" applyFont="1" applyBorder="1"/>
    <xf numFmtId="3" fontId="0" fillId="0" borderId="0" xfId="0" applyNumberFormat="1"/>
    <xf numFmtId="0" fontId="1" fillId="2" borderId="13" xfId="0" applyFont="1" applyFill="1" applyBorder="1" applyAlignment="1">
      <alignment horizontal="center"/>
    </xf>
    <xf numFmtId="0" fontId="0" fillId="0" borderId="0" xfId="0" pivotButton="1"/>
    <xf numFmtId="0" fontId="0" fillId="0" borderId="0" xfId="0" applyAlignment="1">
      <alignment horizontal="left"/>
    </xf>
    <xf numFmtId="0" fontId="4" fillId="2" borderId="0" xfId="0" applyFont="1" applyFill="1"/>
    <xf numFmtId="9" fontId="0" fillId="0" borderId="0" xfId="1" applyFont="1"/>
  </cellXfs>
  <cellStyles count="2">
    <cellStyle name="Normal" xfId="0" builtinId="0"/>
    <cellStyle name="Percent" xfId="1" builtinId="5"/>
  </cellStyles>
  <dxfs count="26">
    <dxf>
      <border diagonalUp="0" diagonalDown="0">
        <left/>
        <right/>
        <top style="thin">
          <color theme="0" tint="-0.499984740745262"/>
        </top>
        <bottom style="thin">
          <color theme="0" tint="-0.499984740745262"/>
        </bottom>
        <vertical/>
        <horizontal/>
      </border>
    </dxf>
    <dxf>
      <border outline="0">
        <top style="thin">
          <color theme="0" tint="-0.499984740745262"/>
        </top>
      </border>
    </dxf>
    <dxf>
      <border outline="0">
        <left style="thin">
          <color theme="0" tint="-0.499984740745262"/>
        </left>
        <right style="thin">
          <color theme="0" tint="-0.499984740745262"/>
        </right>
        <top style="thin">
          <color theme="0" tint="-0.499984740745262"/>
        </top>
        <bottom style="thin">
          <color theme="0" tint="-0.499984740745262"/>
        </bottom>
      </border>
    </dxf>
    <dxf>
      <border outline="0">
        <bottom style="thin">
          <color theme="0" tint="-0.499984740745262"/>
        </bottom>
      </border>
    </dxf>
    <dxf>
      <font>
        <b/>
        <i val="0"/>
        <strike val="0"/>
        <condense val="0"/>
        <extend val="0"/>
        <outline val="0"/>
        <shadow val="0"/>
        <u val="none"/>
        <vertAlign val="baseline"/>
        <sz val="11"/>
        <color theme="1"/>
        <name val="Aptos Narrow"/>
        <family val="2"/>
        <scheme val="minor"/>
      </font>
    </dxf>
    <dxf>
      <numFmt numFmtId="0" formatCode="General"/>
      <border diagonalUp="0" diagonalDown="0">
        <left style="thin">
          <color theme="0" tint="-0.499984740745262"/>
        </left>
        <right/>
        <top style="thin">
          <color theme="0" tint="-0.499984740745262"/>
        </top>
        <bottom style="thin">
          <color theme="0" tint="-0.499984740745262"/>
        </bottom>
        <vertical/>
        <horizontal/>
      </border>
    </dxf>
    <dxf>
      <numFmt numFmtId="0" formatCode="General"/>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numFmt numFmtId="0" formatCode="General"/>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numFmt numFmtId="0" formatCode="General"/>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numFmt numFmtId="0" formatCode="General"/>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11"/>
        <color rgb="FF0000FF"/>
        <name val="Aptos Narrow"/>
        <family val="2"/>
        <scheme val="minor"/>
      </font>
      <numFmt numFmtId="4" formatCode="#,##0.0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11"/>
        <color rgb="FF0000FF"/>
        <name val="Aptos Narrow"/>
        <family val="2"/>
        <scheme val="minor"/>
      </font>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11"/>
        <color rgb="FF0000FF"/>
        <name val="Aptos Narrow"/>
        <family val="2"/>
        <scheme val="minor"/>
      </font>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11"/>
        <color rgb="FF0000FF"/>
        <name val="Aptos Narrow"/>
        <family val="2"/>
        <scheme val="minor"/>
      </font>
      <numFmt numFmtId="20" formatCode="dd/mmm/yy"/>
      <border diagonalUp="0" diagonalDown="0">
        <left/>
        <right style="thin">
          <color theme="0" tint="-0.499984740745262"/>
        </right>
        <top style="thin">
          <color theme="0" tint="-0.499984740745262"/>
        </top>
        <bottom style="thin">
          <color theme="0" tint="-0.499984740745262"/>
        </bottom>
        <vertical/>
        <horizontal/>
      </border>
    </dxf>
    <dxf>
      <border outline="0">
        <top style="thin">
          <color theme="0" tint="-0.499984740745262"/>
        </top>
      </border>
    </dxf>
    <dxf>
      <border outline="0">
        <left style="thin">
          <color theme="0" tint="-0.499984740745262"/>
        </left>
        <right style="thin">
          <color theme="0" tint="-0.499984740745262"/>
        </right>
        <top style="thin">
          <color theme="0" tint="-0.499984740745262"/>
        </top>
        <bottom style="thin">
          <color theme="0" tint="-0.499984740745262"/>
        </bottom>
      </border>
    </dxf>
    <dxf>
      <border outline="0">
        <bottom style="thin">
          <color theme="0" tint="-0.499984740745262"/>
        </bottom>
      </border>
    </dxf>
    <dxf>
      <font>
        <b/>
        <i val="0"/>
        <strike val="0"/>
        <condense val="0"/>
        <extend val="0"/>
        <outline val="0"/>
        <shadow val="0"/>
        <u val="none"/>
        <vertAlign val="baseline"/>
        <sz val="11"/>
        <color theme="1"/>
        <name val="Aptos Narrow"/>
        <family val="2"/>
        <scheme val="minor"/>
      </font>
      <border diagonalUp="0" diagonalDown="0" outline="0">
        <left style="thin">
          <color theme="0" tint="-0.499984740745262"/>
        </left>
        <right style="thin">
          <color theme="0" tint="-0.499984740745262"/>
        </right>
        <top/>
        <bottom/>
      </border>
    </dxf>
    <dxf>
      <font>
        <b val="0"/>
        <i val="0"/>
        <strike val="0"/>
        <condense val="0"/>
        <extend val="0"/>
        <outline val="0"/>
        <shadow val="0"/>
        <u val="none"/>
        <vertAlign val="baseline"/>
        <sz val="11"/>
        <color rgb="FF0000FF"/>
        <name val="Aptos Narrow"/>
        <family val="2"/>
        <scheme val="minor"/>
      </font>
      <numFmt numFmtId="4" formatCode="#,##0.00"/>
      <border diagonalUp="0" diagonalDown="0">
        <left style="thin">
          <color theme="0" tint="-0.499984740745262"/>
        </left>
        <right/>
        <top style="thin">
          <color theme="0" tint="-0.499984740745262"/>
        </top>
        <bottom style="thin">
          <color theme="0" tint="-0.499984740745262"/>
        </bottom>
        <vertical/>
        <horizontal/>
      </border>
    </dxf>
    <dxf>
      <font>
        <b val="0"/>
        <i val="0"/>
        <strike val="0"/>
        <condense val="0"/>
        <extend val="0"/>
        <outline val="0"/>
        <shadow val="0"/>
        <u val="none"/>
        <vertAlign val="baseline"/>
        <sz val="11"/>
        <color rgb="FF0000FF"/>
        <name val="Aptos Narrow"/>
        <family val="2"/>
        <scheme val="minor"/>
      </font>
      <numFmt numFmtId="4" formatCode="#,##0.0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11"/>
        <color rgb="FF0000FF"/>
        <name val="Aptos Narrow"/>
        <family val="2"/>
        <scheme val="minor"/>
      </font>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11"/>
        <color rgb="FF0000FF"/>
        <name val="Aptos Narrow"/>
        <family val="2"/>
        <scheme val="minor"/>
      </font>
      <numFmt numFmtId="20" formatCode="dd/mmm/yy"/>
      <border diagonalUp="0" diagonalDown="0">
        <left/>
        <right style="thin">
          <color theme="0" tint="-0.499984740745262"/>
        </right>
        <top style="thin">
          <color theme="0" tint="-0.499984740745262"/>
        </top>
        <bottom style="thin">
          <color theme="0" tint="-0.499984740745262"/>
        </bottom>
        <vertical/>
        <horizontal/>
      </border>
    </dxf>
    <dxf>
      <border outline="0">
        <top style="thin">
          <color theme="0" tint="-0.499984740745262"/>
        </top>
      </border>
    </dxf>
    <dxf>
      <border outline="0">
        <left style="thin">
          <color theme="0" tint="-0.499984740745262"/>
        </left>
        <right style="thin">
          <color theme="0" tint="-0.499984740745262"/>
        </right>
        <top style="thin">
          <color theme="0" tint="-0.499984740745262"/>
        </top>
        <bottom style="thin">
          <color theme="0" tint="-0.499984740745262"/>
        </bottom>
      </border>
    </dxf>
    <dxf>
      <border outline="0">
        <bottom style="thin">
          <color theme="0" tint="-0.499984740745262"/>
        </bottom>
      </border>
    </dxf>
    <dxf>
      <border diagonalUp="0" diagonalDown="0" outline="0">
        <left style="thin">
          <color theme="0" tint="-0.499984740745262"/>
        </left>
        <right style="thin">
          <color theme="0" tint="-0.499984740745262"/>
        </right>
        <top/>
        <bottom/>
      </border>
    </dxf>
  </dxfs>
  <tableStyles count="0" defaultTableStyle="TableStyleMedium2" defaultPivotStyle="PivotStyleLight16"/>
  <colors>
    <mruColors>
      <color rgb="FF0000FF"/>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18" Type="http://schemas.openxmlformats.org/officeDocument/2006/relationships/customXml" Target="../customXml/item3.xml"/><Relationship Id="rId26" Type="http://schemas.openxmlformats.org/officeDocument/2006/relationships/customXml" Target="../customXml/item11.xml"/><Relationship Id="rId21" Type="http://schemas.openxmlformats.org/officeDocument/2006/relationships/customXml" Target="../customXml/item6.xml"/><Relationship Id="rId34" Type="http://schemas.openxmlformats.org/officeDocument/2006/relationships/customXml" Target="../customXml/item19.xml"/><Relationship Id="rId7" Type="http://schemas.openxmlformats.org/officeDocument/2006/relationships/pivotCacheDefinition" Target="pivotCache/pivotCacheDefinition3.xml"/><Relationship Id="rId12" Type="http://schemas.openxmlformats.org/officeDocument/2006/relationships/styles" Target="styles.xml"/><Relationship Id="rId17" Type="http://schemas.openxmlformats.org/officeDocument/2006/relationships/customXml" Target="../customXml/item2.xml"/><Relationship Id="rId25" Type="http://schemas.openxmlformats.org/officeDocument/2006/relationships/customXml" Target="../customXml/item10.xml"/><Relationship Id="rId33"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29"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onnections" Target="connections.xml"/><Relationship Id="rId24" Type="http://schemas.openxmlformats.org/officeDocument/2006/relationships/customXml" Target="../customXml/item9.xml"/><Relationship Id="rId32" Type="http://schemas.openxmlformats.org/officeDocument/2006/relationships/customXml" Target="../customXml/item17.xml"/><Relationship Id="rId37" Type="http://schemas.openxmlformats.org/officeDocument/2006/relationships/customXml" Target="../customXml/item22.xml"/><Relationship Id="rId5" Type="http://schemas.openxmlformats.org/officeDocument/2006/relationships/pivotCacheDefinition" Target="pivotCache/pivotCacheDefinition1.xml"/><Relationship Id="rId15" Type="http://schemas.openxmlformats.org/officeDocument/2006/relationships/calcChain" Target="calcChain.xml"/><Relationship Id="rId23" Type="http://schemas.openxmlformats.org/officeDocument/2006/relationships/customXml" Target="../customXml/item8.xml"/><Relationship Id="rId28" Type="http://schemas.openxmlformats.org/officeDocument/2006/relationships/customXml" Target="../customXml/item13.xml"/><Relationship Id="rId36" Type="http://schemas.openxmlformats.org/officeDocument/2006/relationships/customXml" Target="../customXml/item21.xml"/><Relationship Id="rId10" Type="http://schemas.openxmlformats.org/officeDocument/2006/relationships/theme" Target="theme/theme1.xml"/><Relationship Id="rId19" Type="http://schemas.openxmlformats.org/officeDocument/2006/relationships/customXml" Target="../customXml/item4.xml"/><Relationship Id="rId31" Type="http://schemas.openxmlformats.org/officeDocument/2006/relationships/customXml" Target="../customXml/item16.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powerPivotData" Target="model/item.data"/><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 Id="rId35" Type="http://schemas.openxmlformats.org/officeDocument/2006/relationships/customXml" Target="../customXml/item20.xml"/><Relationship Id="rId8" Type="http://schemas.openxmlformats.org/officeDocument/2006/relationships/pivotCacheDefinition" Target="pivotCache/pivotCacheDefinition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[Inventory Tracker Dashboard with FIFO Calculations_start.xlsx]Calculations!PivotTable2</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c:spPr>
      </c:pivotFmt>
      <c:pivotFmt>
        <c:idx val="7"/>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c:spPr>
      </c:pivotFmt>
    </c:pivotFmts>
    <c:plotArea>
      <c:layout>
        <c:manualLayout>
          <c:layoutTarget val="inner"/>
          <c:xMode val="edge"/>
          <c:yMode val="edge"/>
          <c:x val="0.43287204078469177"/>
          <c:y val="2.2395418134813147E-2"/>
          <c:w val="0.48247005754306127"/>
          <c:h val="0.94080617861524907"/>
        </c:manualLayout>
      </c:layout>
      <c:doughnutChart>
        <c:varyColors val="1"/>
        <c:ser>
          <c:idx val="0"/>
          <c:order val="0"/>
          <c:tx>
            <c:strRef>
              <c:f>Calculations!$I$4</c:f>
              <c:strCache>
                <c:ptCount val="1"/>
                <c:pt idx="0">
                  <c:v>Total</c:v>
                </c:pt>
              </c:strCache>
            </c:strRef>
          </c:tx>
          <c:dPt>
            <c:idx val="0"/>
            <c:bubble3D val="0"/>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c:spPr>
            <c:extLst>
              <c:ext xmlns:c16="http://schemas.microsoft.com/office/drawing/2014/chart" uri="{C3380CC4-5D6E-409C-BE32-E72D297353CC}">
                <c16:uniqueId val="{00000001-D57B-433F-A259-7C7C633A9C57}"/>
              </c:ext>
            </c:extLst>
          </c:dPt>
          <c:dPt>
            <c:idx val="1"/>
            <c:bubble3D val="0"/>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c:spPr>
            <c:extLst>
              <c:ext xmlns:c16="http://schemas.microsoft.com/office/drawing/2014/chart" uri="{C3380CC4-5D6E-409C-BE32-E72D297353CC}">
                <c16:uniqueId val="{00000003-D57B-433F-A259-7C7C633A9C5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Calculations!$H$5:$H$6</c:f>
              <c:strCache>
                <c:ptCount val="2"/>
                <c:pt idx="0">
                  <c:v>Qty sold</c:v>
                </c:pt>
                <c:pt idx="1">
                  <c:v>Quantity Purchased</c:v>
                </c:pt>
              </c:strCache>
            </c:strRef>
          </c:cat>
          <c:val>
            <c:numRef>
              <c:f>Calculations!$I$5:$I$6</c:f>
              <c:numCache>
                <c:formatCode>#,##0</c:formatCode>
                <c:ptCount val="2"/>
                <c:pt idx="0">
                  <c:v>177</c:v>
                </c:pt>
                <c:pt idx="1">
                  <c:v>383</c:v>
                </c:pt>
              </c:numCache>
            </c:numRef>
          </c:val>
          <c:extLst>
            <c:ext xmlns:c16="http://schemas.microsoft.com/office/drawing/2014/chart" uri="{C3380CC4-5D6E-409C-BE32-E72D297353CC}">
              <c16:uniqueId val="{00000004-D57B-433F-A259-7C7C633A9C57}"/>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Tracker Dashboard with FIFO Calculations_start.xlsx]Calculations!PivotTable3</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88991364184155"/>
          <c:y val="4.6199893417431359E-2"/>
          <c:w val="0.77913516956296403"/>
          <c:h val="0.75519067078640501"/>
        </c:manualLayout>
      </c:layout>
      <c:barChart>
        <c:barDir val="col"/>
        <c:grouping val="clustered"/>
        <c:varyColors val="0"/>
        <c:ser>
          <c:idx val="0"/>
          <c:order val="0"/>
          <c:tx>
            <c:strRef>
              <c:f>Calculations!$L$4</c:f>
              <c:strCache>
                <c:ptCount val="1"/>
                <c:pt idx="0">
                  <c:v>Qty sold</c:v>
                </c:pt>
              </c:strCache>
            </c:strRef>
          </c:tx>
          <c:spPr>
            <a:solidFill>
              <a:schemeClr val="accent1"/>
            </a:solidFill>
            <a:ln>
              <a:noFill/>
            </a:ln>
            <a:effectLst/>
          </c:spPr>
          <c:invertIfNegative val="0"/>
          <c:cat>
            <c:strRef>
              <c:f>Calculations!$K$5:$K$17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Calculations!$L$5:$L$17</c:f>
              <c:numCache>
                <c:formatCode>#,##0</c:formatCode>
                <c:ptCount val="12"/>
                <c:pt idx="0">
                  <c:v>145</c:v>
                </c:pt>
                <c:pt idx="1">
                  <c:v>15</c:v>
                </c:pt>
                <c:pt idx="2">
                  <c:v>17</c:v>
                </c:pt>
              </c:numCache>
            </c:numRef>
          </c:val>
          <c:extLst>
            <c:ext xmlns:c16="http://schemas.microsoft.com/office/drawing/2014/chart" uri="{C3380CC4-5D6E-409C-BE32-E72D297353CC}">
              <c16:uniqueId val="{00000000-D738-46A4-A281-70DFD329A75B}"/>
            </c:ext>
          </c:extLst>
        </c:ser>
        <c:ser>
          <c:idx val="1"/>
          <c:order val="1"/>
          <c:tx>
            <c:strRef>
              <c:f>Calculations!$M$4</c:f>
              <c:strCache>
                <c:ptCount val="1"/>
                <c:pt idx="0">
                  <c:v>Quantity Purchased</c:v>
                </c:pt>
              </c:strCache>
            </c:strRef>
          </c:tx>
          <c:spPr>
            <a:solidFill>
              <a:schemeClr val="accent2"/>
            </a:solidFill>
            <a:ln>
              <a:noFill/>
            </a:ln>
            <a:effectLst/>
          </c:spPr>
          <c:invertIfNegative val="0"/>
          <c:cat>
            <c:strRef>
              <c:f>Calculations!$K$5:$K$17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Calculations!$M$5:$M$17</c:f>
              <c:numCache>
                <c:formatCode>#,##0</c:formatCode>
                <c:ptCount val="12"/>
                <c:pt idx="0">
                  <c:v>163</c:v>
                </c:pt>
                <c:pt idx="1">
                  <c:v>65</c:v>
                </c:pt>
                <c:pt idx="2">
                  <c:v>90</c:v>
                </c:pt>
                <c:pt idx="3">
                  <c:v>65</c:v>
                </c:pt>
              </c:numCache>
            </c:numRef>
          </c:val>
          <c:extLst>
            <c:ext xmlns:c16="http://schemas.microsoft.com/office/drawing/2014/chart" uri="{C3380CC4-5D6E-409C-BE32-E72D297353CC}">
              <c16:uniqueId val="{00000001-D738-46A4-A281-70DFD329A75B}"/>
            </c:ext>
          </c:extLst>
        </c:ser>
        <c:dLbls>
          <c:showLegendKey val="0"/>
          <c:showVal val="0"/>
          <c:showCatName val="0"/>
          <c:showSerName val="0"/>
          <c:showPercent val="0"/>
          <c:showBubbleSize val="0"/>
        </c:dLbls>
        <c:gapWidth val="219"/>
        <c:overlap val="-27"/>
        <c:axId val="1724991936"/>
        <c:axId val="1724993376"/>
      </c:barChart>
      <c:catAx>
        <c:axId val="1724991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993376"/>
        <c:crosses val="autoZero"/>
        <c:auto val="1"/>
        <c:lblAlgn val="ctr"/>
        <c:lblOffset val="100"/>
        <c:noMultiLvlLbl val="0"/>
      </c:catAx>
      <c:valAx>
        <c:axId val="17249933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9919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76200</xdr:colOff>
      <xdr:row>2</xdr:row>
      <xdr:rowOff>38100</xdr:rowOff>
    </xdr:from>
    <xdr:to>
      <xdr:col>5</xdr:col>
      <xdr:colOff>0</xdr:colOff>
      <xdr:row>8</xdr:row>
      <xdr:rowOff>0</xdr:rowOff>
    </xdr:to>
    <xdr:sp macro="" textlink="Calculations!A2">
      <xdr:nvSpPr>
        <xdr:cNvPr id="2" name="Rectangle: Rounded Corners 1">
          <a:extLst>
            <a:ext uri="{FF2B5EF4-FFF2-40B4-BE49-F238E27FC236}">
              <a16:creationId xmlns:a16="http://schemas.microsoft.com/office/drawing/2014/main" id="{2F2A50C3-EBF0-7C9B-FF33-B001E4FA82AB}"/>
            </a:ext>
          </a:extLst>
        </xdr:cNvPr>
        <xdr:cNvSpPr/>
      </xdr:nvSpPr>
      <xdr:spPr>
        <a:xfrm>
          <a:off x="685800" y="222250"/>
          <a:ext cx="1752600" cy="1066800"/>
        </a:xfrm>
        <a:prstGeom prst="round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B0FD33A-6CB8-46A1-A52C-7B8E36370FE5}" type="TxLink">
            <a:rPr lang="en-US" sz="4400" b="1" i="0" u="none" strike="noStrike" kern="1200">
              <a:solidFill>
                <a:schemeClr val="accent2">
                  <a:lumMod val="50000"/>
                </a:schemeClr>
              </a:solidFill>
              <a:latin typeface="Aptos Narrow"/>
              <a:ea typeface="+mn-ea"/>
              <a:cs typeface="+mn-cs"/>
            </a:rPr>
            <a:pPr marL="0" indent="0" algn="ctr"/>
            <a:t>637</a:t>
          </a:fld>
          <a:endParaRPr lang="en-US" sz="4400" b="1" i="0" u="none" strike="noStrike" kern="1200">
            <a:solidFill>
              <a:schemeClr val="accent2">
                <a:lumMod val="50000"/>
              </a:schemeClr>
            </a:solidFill>
            <a:latin typeface="Aptos Narrow"/>
            <a:ea typeface="+mn-ea"/>
            <a:cs typeface="+mn-cs"/>
          </a:endParaRPr>
        </a:p>
      </xdr:txBody>
    </xdr:sp>
    <xdr:clientData/>
  </xdr:twoCellAnchor>
  <xdr:twoCellAnchor>
    <xdr:from>
      <xdr:col>6</xdr:col>
      <xdr:colOff>69850</xdr:colOff>
      <xdr:row>2</xdr:row>
      <xdr:rowOff>38100</xdr:rowOff>
    </xdr:from>
    <xdr:to>
      <xdr:col>8</xdr:col>
      <xdr:colOff>603250</xdr:colOff>
      <xdr:row>8</xdr:row>
      <xdr:rowOff>0</xdr:rowOff>
    </xdr:to>
    <xdr:sp macro="" textlink="Calculations!B2">
      <xdr:nvSpPr>
        <xdr:cNvPr id="3" name="Rectangle: Rounded Corners 2">
          <a:extLst>
            <a:ext uri="{FF2B5EF4-FFF2-40B4-BE49-F238E27FC236}">
              <a16:creationId xmlns:a16="http://schemas.microsoft.com/office/drawing/2014/main" id="{F7236EAC-BD7E-B5F3-22F1-A85B60353F97}"/>
            </a:ext>
          </a:extLst>
        </xdr:cNvPr>
        <xdr:cNvSpPr/>
      </xdr:nvSpPr>
      <xdr:spPr>
        <a:xfrm>
          <a:off x="3117850" y="222250"/>
          <a:ext cx="1752600" cy="1066800"/>
        </a:xfrm>
        <a:prstGeom prst="round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620897D-C359-4625-9BEE-7EA92D76F48E}" type="TxLink">
            <a:rPr lang="en-US" sz="4400" b="1" i="0" u="none" strike="noStrike" kern="1200">
              <a:solidFill>
                <a:schemeClr val="accent2">
                  <a:lumMod val="50000"/>
                </a:schemeClr>
              </a:solidFill>
              <a:latin typeface="Aptos Narrow"/>
              <a:ea typeface="+mn-ea"/>
              <a:cs typeface="+mn-cs"/>
            </a:rPr>
            <a:pPr marL="0" indent="0" algn="ctr"/>
            <a:t>478</a:t>
          </a:fld>
          <a:endParaRPr lang="en-US" sz="4400" b="1" i="0" u="none" strike="noStrike" kern="1200">
            <a:solidFill>
              <a:schemeClr val="accent2">
                <a:lumMod val="50000"/>
              </a:schemeClr>
            </a:solidFill>
            <a:latin typeface="Aptos Narrow"/>
            <a:ea typeface="+mn-ea"/>
            <a:cs typeface="+mn-cs"/>
          </a:endParaRPr>
        </a:p>
      </xdr:txBody>
    </xdr:sp>
    <xdr:clientData/>
  </xdr:twoCellAnchor>
  <xdr:twoCellAnchor>
    <xdr:from>
      <xdr:col>10</xdr:col>
      <xdr:colOff>50800</xdr:colOff>
      <xdr:row>2</xdr:row>
      <xdr:rowOff>38100</xdr:rowOff>
    </xdr:from>
    <xdr:to>
      <xdr:col>12</xdr:col>
      <xdr:colOff>584200</xdr:colOff>
      <xdr:row>8</xdr:row>
      <xdr:rowOff>0</xdr:rowOff>
    </xdr:to>
    <xdr:sp macro="" textlink="Calculations!C2">
      <xdr:nvSpPr>
        <xdr:cNvPr id="4" name="Rectangle: Rounded Corners 3">
          <a:extLst>
            <a:ext uri="{FF2B5EF4-FFF2-40B4-BE49-F238E27FC236}">
              <a16:creationId xmlns:a16="http://schemas.microsoft.com/office/drawing/2014/main" id="{D832C8A2-960A-7F75-67B4-DE9BDFB00CED}"/>
            </a:ext>
          </a:extLst>
        </xdr:cNvPr>
        <xdr:cNvSpPr/>
      </xdr:nvSpPr>
      <xdr:spPr>
        <a:xfrm>
          <a:off x="5537200" y="222250"/>
          <a:ext cx="1752600" cy="1066800"/>
        </a:xfrm>
        <a:prstGeom prst="round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B627152D-7D40-4B28-9047-480AC712647C}" type="TxLink">
            <a:rPr lang="en-US" sz="4400" b="1" i="0" u="none" strike="noStrike" kern="1200">
              <a:solidFill>
                <a:schemeClr val="accent2">
                  <a:lumMod val="50000"/>
                </a:schemeClr>
              </a:solidFill>
              <a:latin typeface="Aptos Narrow"/>
              <a:ea typeface="+mn-ea"/>
              <a:cs typeface="+mn-cs"/>
            </a:rPr>
            <a:pPr marL="0" indent="0" algn="ctr"/>
            <a:t>159</a:t>
          </a:fld>
          <a:endParaRPr lang="en-US" sz="4400" b="1" i="0" u="none" strike="noStrike" kern="1200">
            <a:solidFill>
              <a:schemeClr val="accent2">
                <a:lumMod val="50000"/>
              </a:schemeClr>
            </a:solidFill>
            <a:latin typeface="Aptos Narrow"/>
            <a:ea typeface="+mn-ea"/>
            <a:cs typeface="+mn-cs"/>
          </a:endParaRPr>
        </a:p>
      </xdr:txBody>
    </xdr:sp>
    <xdr:clientData/>
  </xdr:twoCellAnchor>
  <xdr:twoCellAnchor>
    <xdr:from>
      <xdr:col>14</xdr:col>
      <xdr:colOff>25400</xdr:colOff>
      <xdr:row>2</xdr:row>
      <xdr:rowOff>38100</xdr:rowOff>
    </xdr:from>
    <xdr:to>
      <xdr:col>16</xdr:col>
      <xdr:colOff>558800</xdr:colOff>
      <xdr:row>8</xdr:row>
      <xdr:rowOff>0</xdr:rowOff>
    </xdr:to>
    <xdr:sp macro="" textlink="Calculations!D2">
      <xdr:nvSpPr>
        <xdr:cNvPr id="5" name="Rectangle: Rounded Corners 4">
          <a:extLst>
            <a:ext uri="{FF2B5EF4-FFF2-40B4-BE49-F238E27FC236}">
              <a16:creationId xmlns:a16="http://schemas.microsoft.com/office/drawing/2014/main" id="{C2A3E278-ABA3-D531-CF54-6F55D24C974B}"/>
            </a:ext>
          </a:extLst>
        </xdr:cNvPr>
        <xdr:cNvSpPr/>
      </xdr:nvSpPr>
      <xdr:spPr>
        <a:xfrm>
          <a:off x="7950200" y="222250"/>
          <a:ext cx="1752600" cy="1066800"/>
        </a:xfrm>
        <a:prstGeom prst="round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C9F3788-CB20-4079-B6FE-D87E0EC8E9F6}" type="TxLink">
            <a:rPr lang="en-US" sz="4400" b="1" i="0" u="none" strike="noStrike" kern="1200">
              <a:solidFill>
                <a:schemeClr val="accent2">
                  <a:lumMod val="50000"/>
                </a:schemeClr>
              </a:solidFill>
              <a:latin typeface="Aptos Narrow"/>
              <a:ea typeface="+mn-ea"/>
              <a:cs typeface="+mn-cs"/>
            </a:rPr>
            <a:pPr marL="0" indent="0" algn="ctr"/>
            <a:t>206</a:t>
          </a:fld>
          <a:endParaRPr lang="en-US" sz="4400" b="1" i="0" u="none" strike="noStrike" kern="1200">
            <a:solidFill>
              <a:schemeClr val="accent2">
                <a:lumMod val="50000"/>
              </a:schemeClr>
            </a:solidFill>
            <a:latin typeface="Aptos Narrow"/>
            <a:ea typeface="+mn-ea"/>
            <a:cs typeface="+mn-cs"/>
          </a:endParaRPr>
        </a:p>
      </xdr:txBody>
    </xdr:sp>
    <xdr:clientData/>
  </xdr:twoCellAnchor>
  <xdr:twoCellAnchor>
    <xdr:from>
      <xdr:col>2</xdr:col>
      <xdr:colOff>69850</xdr:colOff>
      <xdr:row>12</xdr:row>
      <xdr:rowOff>149764</xdr:rowOff>
    </xdr:from>
    <xdr:to>
      <xdr:col>8</xdr:col>
      <xdr:colOff>552450</xdr:colOff>
      <xdr:row>23</xdr:row>
      <xdr:rowOff>141856</xdr:rowOff>
    </xdr:to>
    <xdr:sp macro="" textlink="">
      <xdr:nvSpPr>
        <xdr:cNvPr id="6" name="Rectangle: Rounded Corners 5">
          <a:extLst>
            <a:ext uri="{FF2B5EF4-FFF2-40B4-BE49-F238E27FC236}">
              <a16:creationId xmlns:a16="http://schemas.microsoft.com/office/drawing/2014/main" id="{F5A3CF9D-1E73-0AB4-33DB-309EEA89E223}"/>
            </a:ext>
          </a:extLst>
        </xdr:cNvPr>
        <xdr:cNvSpPr/>
      </xdr:nvSpPr>
      <xdr:spPr>
        <a:xfrm>
          <a:off x="1291925" y="3300802"/>
          <a:ext cx="4148827" cy="203487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10</xdr:col>
      <xdr:colOff>32154</xdr:colOff>
      <xdr:row>12</xdr:row>
      <xdr:rowOff>57403</xdr:rowOff>
    </xdr:from>
    <xdr:to>
      <xdr:col>17</xdr:col>
      <xdr:colOff>426014</xdr:colOff>
      <xdr:row>27</xdr:row>
      <xdr:rowOff>152722</xdr:rowOff>
    </xdr:to>
    <xdr:sp macro="" textlink="">
      <xdr:nvSpPr>
        <xdr:cNvPr id="7" name="Rectangle: Rounded Corners 6">
          <a:extLst>
            <a:ext uri="{FF2B5EF4-FFF2-40B4-BE49-F238E27FC236}">
              <a16:creationId xmlns:a16="http://schemas.microsoft.com/office/drawing/2014/main" id="{E2DF7E57-A60B-1E6F-2494-D3B651EE5D0C}"/>
            </a:ext>
          </a:extLst>
        </xdr:cNvPr>
        <xdr:cNvSpPr/>
      </xdr:nvSpPr>
      <xdr:spPr>
        <a:xfrm>
          <a:off x="6141015" y="3200251"/>
          <a:ext cx="4670062" cy="286842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2</xdr:col>
      <xdr:colOff>287547</xdr:colOff>
      <xdr:row>13</xdr:row>
      <xdr:rowOff>41934</xdr:rowOff>
    </xdr:from>
    <xdr:to>
      <xdr:col>8</xdr:col>
      <xdr:colOff>215539</xdr:colOff>
      <xdr:row>23</xdr:row>
      <xdr:rowOff>35943</xdr:rowOff>
    </xdr:to>
    <xdr:graphicFrame macro="">
      <xdr:nvGraphicFramePr>
        <xdr:cNvPr id="8" name="Chart 7">
          <a:extLst>
            <a:ext uri="{FF2B5EF4-FFF2-40B4-BE49-F238E27FC236}">
              <a16:creationId xmlns:a16="http://schemas.microsoft.com/office/drawing/2014/main" id="{9B299C3F-998D-4258-A79C-FB1DE1DF6F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6</xdr:col>
      <xdr:colOff>168796</xdr:colOff>
      <xdr:row>14</xdr:row>
      <xdr:rowOff>160760</xdr:rowOff>
    </xdr:from>
    <xdr:ext cx="651077" cy="361708"/>
    <xdr:sp macro="" textlink="">
      <xdr:nvSpPr>
        <xdr:cNvPr id="9" name="TextBox 8">
          <a:extLst>
            <a:ext uri="{FF2B5EF4-FFF2-40B4-BE49-F238E27FC236}">
              <a16:creationId xmlns:a16="http://schemas.microsoft.com/office/drawing/2014/main" id="{62FAA345-63B7-2FFF-66EB-204EFFBBED45}"/>
            </a:ext>
          </a:extLst>
        </xdr:cNvPr>
        <xdr:cNvSpPr txBox="1"/>
      </xdr:nvSpPr>
      <xdr:spPr>
        <a:xfrm flipV="1">
          <a:off x="3834112" y="3673355"/>
          <a:ext cx="651077" cy="3617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twoCellAnchor>
    <xdr:from>
      <xdr:col>5</xdr:col>
      <xdr:colOff>426013</xdr:colOff>
      <xdr:row>16</xdr:row>
      <xdr:rowOff>64305</xdr:rowOff>
    </xdr:from>
    <xdr:to>
      <xdr:col>7</xdr:col>
      <xdr:colOff>136645</xdr:colOff>
      <xdr:row>19</xdr:row>
      <xdr:rowOff>120571</xdr:rowOff>
    </xdr:to>
    <xdr:sp macro="" textlink="Calculations!H8">
      <xdr:nvSpPr>
        <xdr:cNvPr id="10" name="TextBox 9">
          <a:extLst>
            <a:ext uri="{FF2B5EF4-FFF2-40B4-BE49-F238E27FC236}">
              <a16:creationId xmlns:a16="http://schemas.microsoft.com/office/drawing/2014/main" id="{56609B42-5396-AFB5-5E9B-7C193A7602C2}"/>
            </a:ext>
          </a:extLst>
        </xdr:cNvPr>
        <xdr:cNvSpPr txBox="1"/>
      </xdr:nvSpPr>
      <xdr:spPr>
        <a:xfrm>
          <a:off x="3480443" y="3946647"/>
          <a:ext cx="932405" cy="610886"/>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2D337B5-BA56-4F3C-B40A-7FD69689099E}" type="TxLink">
            <a:rPr lang="en-US" sz="3200" b="1" i="0" u="none" strike="noStrike">
              <a:solidFill>
                <a:srgbClr val="000000"/>
              </a:solidFill>
              <a:latin typeface="Aptos Narrow"/>
            </a:rPr>
            <a:t>46%</a:t>
          </a:fld>
          <a:endParaRPr lang="en-IN" sz="3200" b="1"/>
        </a:p>
      </xdr:txBody>
    </xdr:sp>
    <xdr:clientData/>
  </xdr:twoCellAnchor>
  <xdr:twoCellAnchor>
    <xdr:from>
      <xdr:col>10</xdr:col>
      <xdr:colOff>391197</xdr:colOff>
      <xdr:row>13</xdr:row>
      <xdr:rowOff>33441</xdr:rowOff>
    </xdr:from>
    <xdr:to>
      <xdr:col>17</xdr:col>
      <xdr:colOff>118670</xdr:colOff>
      <xdr:row>27</xdr:row>
      <xdr:rowOff>120570</xdr:rowOff>
    </xdr:to>
    <xdr:graphicFrame macro="">
      <xdr:nvGraphicFramePr>
        <xdr:cNvPr id="11" name="Chart 10">
          <a:extLst>
            <a:ext uri="{FF2B5EF4-FFF2-40B4-BE49-F238E27FC236}">
              <a16:creationId xmlns:a16="http://schemas.microsoft.com/office/drawing/2014/main" id="{3C3D9587-5694-4BA2-A497-6CE9B0FDD6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18</xdr:col>
      <xdr:colOff>16075</xdr:colOff>
      <xdr:row>15</xdr:row>
      <xdr:rowOff>120569</xdr:rowOff>
    </xdr:from>
    <xdr:to>
      <xdr:col>21</xdr:col>
      <xdr:colOff>458163</xdr:colOff>
      <xdr:row>25</xdr:row>
      <xdr:rowOff>136645</xdr:rowOff>
    </xdr:to>
    <mc:AlternateContent xmlns:mc="http://schemas.openxmlformats.org/markup-compatibility/2006">
      <mc:Choice xmlns:a14="http://schemas.microsoft.com/office/drawing/2010/main" Requires="a14">
        <xdr:graphicFrame macro="">
          <xdr:nvGraphicFramePr>
            <xdr:cNvPr id="13" name="Register">
              <a:extLst>
                <a:ext uri="{FF2B5EF4-FFF2-40B4-BE49-F238E27FC236}">
                  <a16:creationId xmlns:a16="http://schemas.microsoft.com/office/drawing/2014/main" id="{25C2CE7C-B0BC-49FE-ABB7-F8493E91FF3E}"/>
                </a:ext>
              </a:extLst>
            </xdr:cNvPr>
            <xdr:cNvGraphicFramePr/>
          </xdr:nvGraphicFramePr>
          <xdr:xfrm>
            <a:off x="0" y="0"/>
            <a:ext cx="0" cy="0"/>
          </xdr:xfrm>
          <a:graphic>
            <a:graphicData uri="http://schemas.microsoft.com/office/drawing/2010/slicer">
              <sle:slicer xmlns:sle="http://schemas.microsoft.com/office/drawing/2010/slicer" name="Register"/>
            </a:graphicData>
          </a:graphic>
        </xdr:graphicFrame>
      </mc:Choice>
      <mc:Fallback>
        <xdr:sp macro="" textlink="">
          <xdr:nvSpPr>
            <xdr:cNvPr id="0" name=""/>
            <xdr:cNvSpPr>
              <a:spLocks noTextEdit="1"/>
            </xdr:cNvSpPr>
          </xdr:nvSpPr>
          <xdr:spPr>
            <a:xfrm>
              <a:off x="10959692" y="3876526"/>
              <a:ext cx="2266024" cy="19075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98.707667708331" backgroundQuery="1" createdVersion="8" refreshedVersion="8" minRefreshableVersion="3" recordCount="0" supportSubquery="1" supportAdvancedDrill="1" xr:uid="{56B384D7-1FDE-4824-B8F1-D791BB7DF1D4}">
  <cacheSource type="external" connectionId="2"/>
  <cacheFields count="7">
    <cacheField name="[Measures].[Revenue]" caption="Revenue" numFmtId="0" hierarchy="22" level="32767"/>
    <cacheField name="[Measures].[COGS]" caption="COGS" numFmtId="0" hierarchy="23" level="32767"/>
    <cacheField name="[Measures].[Profit]" caption="Profit" numFmtId="0" hierarchy="24" level="32767"/>
    <cacheField name="[Measures].[Quantity Remaining]" caption="Quantity Remaining" numFmtId="0" hierarchy="25" level="32767"/>
    <cacheField name="[Measures].[Qty sold]" caption="Qty sold" numFmtId="0" hierarchy="26" level="32767"/>
    <cacheField name="[Measures].[Quantity Purchased]" caption="Quantity Purchased" numFmtId="0" hierarchy="27" level="32767"/>
    <cacheField name="[Register].[Register].[Register]" caption="Register" numFmtId="0" hierarchy="17" level="1">
      <sharedItems containsSemiMixedTypes="0" containsNonDate="0" containsString="0"/>
    </cacheField>
  </cacheFields>
  <cacheHierarchies count="33">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Purchases].[Purchase Date]" caption="Purchase Date" attribute="1" time="1" defaultMemberUniqueName="[Purchases].[Purchase Date].[All]" allUniqueName="[Purchases].[Purchase Date].[All]" dimensionUniqueName="[Purchases]" displayFolder="" count="2" memberValueDatatype="7" unbalanced="0"/>
    <cacheHierarchy uniqueName="[Purchases].[Item]" caption="Item" attribute="1" defaultMemberUniqueName="[Purchases].[Item].[All]" allUniqueName="[Purchases].[Item].[All]" dimensionUniqueName="[Purchases]" displayFolder="" count="2" memberValueDatatype="130" unbalanced="0"/>
    <cacheHierarchy uniqueName="[Purchases].[Qty Purchased]" caption="Qty Purchased" attribute="1" defaultMemberUniqueName="[Purchases].[Qty Purchased].[All]" allUniqueName="[Purchases].[Qty Purchased].[All]" dimensionUniqueName="[Purchases]" displayFolder="" count="2" memberValueDatatype="20" unbalanced="0"/>
    <cacheHierarchy uniqueName="[Purchases].[Unit Price]" caption="Unit Price" attribute="1" defaultMemberUniqueName="[Purchases].[Unit Price].[All]" allUniqueName="[Purchases].[Unit Price].[All]" dimensionUniqueName="[Purchases]" displayFolder="" count="2" memberValueDatatype="5" unbalanced="0"/>
    <cacheHierarchy uniqueName="[Purchases].[Cost of Qty Purchased]" caption="Cost of Qty Purchased" attribute="1" defaultMemberUniqueName="[Purchases].[Cost of Qty Purchased].[All]" allUniqueName="[Purchases].[Cost of Qty Purchased].[All]" dimensionUniqueName="[Purchases]" displayFolder="" count="2" memberValueDatatype="5" unbalanced="0"/>
    <cacheHierarchy uniqueName="[Purchases].[Units Sold]" caption="Units Sold" attribute="1" defaultMemberUniqueName="[Purchases].[Units Sold].[All]" allUniqueName="[Purchases].[Units Sold].[All]" dimensionUniqueName="[Purchases]" displayFolder="" count="2" memberValueDatatype="20" unbalanced="0"/>
    <cacheHierarchy uniqueName="[Purchases].[Units Remaining]" caption="Units Remaining" attribute="1" defaultMemberUniqueName="[Purchases].[Units Remaining].[All]" allUniqueName="[Purchases].[Units Remaining].[All]" dimensionUniqueName="[Purchases]" displayFolder="" count="2" memberValueDatatype="20" unbalanced="0"/>
    <cacheHierarchy uniqueName="[Purchases].[Cost of Goods Sold]" caption="Cost of Goods Sold" attribute="1" defaultMemberUniqueName="[Purchases].[Cost of Goods Sold].[All]" allUniqueName="[Purchases].[Cost of Goods Sold].[All]" dimensionUniqueName="[Purchases]" displayFolder="" count="2" memberValueDatatype="5" unbalanced="0"/>
    <cacheHierarchy uniqueName="[Purchases].[Inventory Value]" caption="Inventory Value" attribute="1" defaultMemberUniqueName="[Purchases].[Inventory Value].[All]" allUniqueName="[Purchases].[Inventory Value].[All]" dimensionUniqueName="[Purchases]" displayFolder="" count="2" memberValueDatatype="5" unbalanced="0"/>
    <cacheHierarchy uniqueName="[Register].[Register]" caption="Register" attribute="1" defaultMemberUniqueName="[Register].[Register].[All]" allUniqueName="[Register].[Register].[All]" dimensionUniqueName="[Register]" displayFolder="" count="2" memberValueDatatype="130" unbalanced="0">
      <fieldsUsage count="2">
        <fieldUsage x="-1"/>
        <fieldUsage x="6"/>
      </fieldsUsage>
    </cacheHierarchy>
    <cacheHierarchy uniqueName="[Sales].[Date]" caption="Date" attribute="1" time="1" defaultMemberUniqueName="[Sales].[Date].[All]" allUniqueName="[Sales].[Date].[All]" dimensionUniqueName="[Sales]" displayFolder="" count="2" memberValueDatatype="7" unbalanced="0"/>
    <cacheHierarchy uniqueName="[Sales].[Item]" caption="Item" attribute="1" defaultMemberUniqueName="[Sales].[Item].[All]" allUniqueName="[Sales].[Item].[All]" dimensionUniqueName="[Sales]" displayFolder="" count="2" memberValueDatatype="130" unbalanced="0"/>
    <cacheHierarchy uniqueName="[Sales].[Quantity Sold]" caption="Quantity Sold" attribute="1" defaultMemberUniqueName="[Sales].[Quantity Sold].[All]" allUniqueName="[Sales].[Quantity Sold].[All]" dimensionUniqueName="[Sales]" displayFolder="" count="2" memberValueDatatype="20" unbalanced="0"/>
    <cacheHierarchy uniqueName="[Sales].[Selling Price]" caption="Selling Price" attribute="1" defaultMemberUniqueName="[Sales].[Selling Price].[All]" allUniqueName="[Sales].[Selling Price].[All]" dimensionUniqueName="[Sales]" displayFolder="" count="2" memberValueDatatype="5" unbalanced="0"/>
    <cacheHierarchy uniqueName="[Measures].[Revenue]" caption="Revenue" measure="1" displayFolder="" measureGroup="Purchases" count="0" oneField="1">
      <fieldsUsage count="1">
        <fieldUsage x="0"/>
      </fieldsUsage>
    </cacheHierarchy>
    <cacheHierarchy uniqueName="[Measures].[COGS]" caption="COGS" measure="1" displayFolder="" measureGroup="Purchases" count="0" oneField="1">
      <fieldsUsage count="1">
        <fieldUsage x="1"/>
      </fieldsUsage>
    </cacheHierarchy>
    <cacheHierarchy uniqueName="[Measures].[Profit]" caption="Profit" measure="1" displayFolder="" measureGroup="Purchases" count="0" oneField="1">
      <fieldsUsage count="1">
        <fieldUsage x="2"/>
      </fieldsUsage>
    </cacheHierarchy>
    <cacheHierarchy uniqueName="[Measures].[Quantity Remaining]" caption="Quantity Remaining" measure="1" displayFolder="" measureGroup="Purchases" count="0" oneField="1">
      <fieldsUsage count="1">
        <fieldUsage x="3"/>
      </fieldsUsage>
    </cacheHierarchy>
    <cacheHierarchy uniqueName="[Measures].[Qty sold]" caption="Qty sold" measure="1" displayFolder="" measureGroup="Purchases" count="0" oneField="1">
      <fieldsUsage count="1">
        <fieldUsage x="4"/>
      </fieldsUsage>
    </cacheHierarchy>
    <cacheHierarchy uniqueName="[Measures].[Quantity Purchased]" caption="Quantity Purchased" measure="1" displayFolder="" measureGroup="Purchases" count="0" oneField="1">
      <fieldsUsage count="1">
        <fieldUsage x="5"/>
      </fieldsUsage>
    </cacheHierarchy>
    <cacheHierarchy uniqueName="[Measures].[__XL_Count Purchases]" caption="__XL_Count Purchases" measure="1" displayFolder="" measureGroup="Purchases" count="0" hidden="1"/>
    <cacheHierarchy uniqueName="[Measures].[__XL_Count Register]" caption="__XL_Count Register" measure="1" displayFolder="" measureGroup="Register" count="0" hidden="1"/>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measure="1" name="Measures" uniqueName="[Measures]" caption="Measures"/>
    <dimension name="Purchases" uniqueName="[Purchases]" caption="Purchases"/>
    <dimension name="Register" uniqueName="[Register]" caption="Register"/>
    <dimension name="Sales" uniqueName="[Sales]" caption="Sales"/>
  </dimensions>
  <measureGroups count="4">
    <measureGroup name="Calendar" caption="Calendar"/>
    <measureGroup name="Purchases" caption="Purchases"/>
    <measureGroup name="Register" caption="Register"/>
    <measureGroup name="Sales" caption="Sales"/>
  </measureGroups>
  <maps count="8">
    <map measureGroup="0" dimension="0"/>
    <map measureGroup="1" dimension="0"/>
    <map measureGroup="1" dimension="2"/>
    <map measureGroup="1" dimension="3"/>
    <map measureGroup="2" dimension="3"/>
    <map measureGroup="3" dimension="0"/>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98.707668171293" backgroundQuery="1" createdVersion="8" refreshedVersion="8" minRefreshableVersion="3" recordCount="0" supportSubquery="1" supportAdvancedDrill="1" xr:uid="{A71A0284-473A-49C6-815A-BC9F59CDF2F1}">
  <cacheSource type="external" connectionId="2"/>
  <cacheFields count="3">
    <cacheField name="[Measures].[Qty sold]" caption="Qty sold" numFmtId="0" hierarchy="26" level="32767"/>
    <cacheField name="[Measures].[Quantity Purchased]" caption="Quantity Purchased" numFmtId="0" hierarchy="27" level="32767"/>
    <cacheField name="[Register].[Register].[Register]" caption="Register" numFmtId="0" hierarchy="17" level="1">
      <sharedItems containsSemiMixedTypes="0" containsNonDate="0" containsString="0"/>
    </cacheField>
  </cacheFields>
  <cacheHierarchies count="3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Purchases].[Purchase Date]" caption="Purchase Date" attribute="1" time="1" defaultMemberUniqueName="[Purchases].[Purchase Date].[All]" allUniqueName="[Purchases].[Purchase Date].[All]" dimensionUniqueName="[Purchases]" displayFolder="" count="0" memberValueDatatype="7" unbalanced="0"/>
    <cacheHierarchy uniqueName="[Purchases].[Item]" caption="Item" attribute="1" defaultMemberUniqueName="[Purchases].[Item].[All]" allUniqueName="[Purchases].[Item].[All]" dimensionUniqueName="[Purchases]" displayFolder="" count="0" memberValueDatatype="130" unbalanced="0"/>
    <cacheHierarchy uniqueName="[Purchases].[Qty Purchased]" caption="Qty Purchased" attribute="1" defaultMemberUniqueName="[Purchases].[Qty Purchased].[All]" allUniqueName="[Purchases].[Qty Purchased].[All]" dimensionUniqueName="[Purchases]" displayFolder="" count="0" memberValueDatatype="20" unbalanced="0"/>
    <cacheHierarchy uniqueName="[Purchases].[Unit Price]" caption="Unit Price" attribute="1" defaultMemberUniqueName="[Purchases].[Unit Price].[All]" allUniqueName="[Purchases].[Unit Price].[All]" dimensionUniqueName="[Purchases]" displayFolder="" count="0" memberValueDatatype="5" unbalanced="0"/>
    <cacheHierarchy uniqueName="[Purchases].[Cost of Qty Purchased]" caption="Cost of Qty Purchased" attribute="1" defaultMemberUniqueName="[Purchases].[Cost of Qty Purchased].[All]" allUniqueName="[Purchases].[Cost of Qty Purchased].[All]" dimensionUniqueName="[Purchases]" displayFolder="" count="0" memberValueDatatype="5" unbalanced="0"/>
    <cacheHierarchy uniqueName="[Purchases].[Units Sold]" caption="Units Sold" attribute="1" defaultMemberUniqueName="[Purchases].[Units Sold].[All]" allUniqueName="[Purchases].[Units Sold].[All]" dimensionUniqueName="[Purchases]" displayFolder="" count="0" memberValueDatatype="20" unbalanced="0"/>
    <cacheHierarchy uniqueName="[Purchases].[Units Remaining]" caption="Units Remaining" attribute="1" defaultMemberUniqueName="[Purchases].[Units Remaining].[All]" allUniqueName="[Purchases].[Units Remaining].[All]" dimensionUniqueName="[Purchases]" displayFolder="" count="0" memberValueDatatype="20" unbalanced="0"/>
    <cacheHierarchy uniqueName="[Purchases].[Cost of Goods Sold]" caption="Cost of Goods Sold" attribute="1" defaultMemberUniqueName="[Purchases].[Cost of Goods Sold].[All]" allUniqueName="[Purchases].[Cost of Goods Sold].[All]" dimensionUniqueName="[Purchases]" displayFolder="" count="0" memberValueDatatype="5" unbalanced="0"/>
    <cacheHierarchy uniqueName="[Purchases].[Inventory Value]" caption="Inventory Value" attribute="1" defaultMemberUniqueName="[Purchases].[Inventory Value].[All]" allUniqueName="[Purchases].[Inventory Value].[All]" dimensionUniqueName="[Purchases]" displayFolder="" count="0" memberValueDatatype="5" unbalanced="0"/>
    <cacheHierarchy uniqueName="[Register].[Register]" caption="Register" attribute="1" defaultMemberUniqueName="[Register].[Register].[All]" allUniqueName="[Register].[Register].[All]" dimensionUniqueName="[Register]" displayFolder="" count="2" memberValueDatatype="130" unbalanced="0">
      <fieldsUsage count="2">
        <fieldUsage x="-1"/>
        <fieldUsage x="2"/>
      </fieldsUsage>
    </cacheHierarchy>
    <cacheHierarchy uniqueName="[Sales].[Date]" caption="Date" attribute="1" time="1" defaultMemberUniqueName="[Sales].[Date].[All]" allUniqueName="[Sales].[Date].[All]" dimensionUniqueName="[Sales]" displayFolder="" count="0" memberValueDatatype="7" unbalanced="0"/>
    <cacheHierarchy uniqueName="[Sales].[Item]" caption="Item" attribute="1" defaultMemberUniqueName="[Sales].[Item].[All]" allUniqueName="[Sales].[Item].[All]" dimensionUniqueName="[Sales]" displayFolder="" count="0" memberValueDatatype="130" unbalanced="0"/>
    <cacheHierarchy uniqueName="[Sales].[Quantity Sold]" caption="Quantity Sold" attribute="1" defaultMemberUniqueName="[Sales].[Quantity Sold].[All]" allUniqueName="[Sales].[Quantity Sold].[All]" dimensionUniqueName="[Sales]" displayFolder="" count="0" memberValueDatatype="20" unbalanced="0"/>
    <cacheHierarchy uniqueName="[Sales].[Selling Price]" caption="Selling Price" attribute="1" defaultMemberUniqueName="[Sales].[Selling Price].[All]" allUniqueName="[Sales].[Selling Price].[All]" dimensionUniqueName="[Sales]" displayFolder="" count="0" memberValueDatatype="5" unbalanced="0"/>
    <cacheHierarchy uniqueName="[Measures].[Revenue]" caption="Revenue" measure="1" displayFolder="" measureGroup="Purchases" count="0"/>
    <cacheHierarchy uniqueName="[Measures].[COGS]" caption="COGS" measure="1" displayFolder="" measureGroup="Purchases" count="0"/>
    <cacheHierarchy uniqueName="[Measures].[Profit]" caption="Profit" measure="1" displayFolder="" measureGroup="Purchases" count="0"/>
    <cacheHierarchy uniqueName="[Measures].[Quantity Remaining]" caption="Quantity Remaining" measure="1" displayFolder="" measureGroup="Purchases" count="0"/>
    <cacheHierarchy uniqueName="[Measures].[Qty sold]" caption="Qty sold" measure="1" displayFolder="" measureGroup="Purchases" count="0" oneField="1">
      <fieldsUsage count="1">
        <fieldUsage x="0"/>
      </fieldsUsage>
    </cacheHierarchy>
    <cacheHierarchy uniqueName="[Measures].[Quantity Purchased]" caption="Quantity Purchased" measure="1" displayFolder="" measureGroup="Purchases" count="0" oneField="1">
      <fieldsUsage count="1">
        <fieldUsage x="1"/>
      </fieldsUsage>
    </cacheHierarchy>
    <cacheHierarchy uniqueName="[Measures].[__XL_Count Purchases]" caption="__XL_Count Purchases" measure="1" displayFolder="" measureGroup="Purchases" count="0" hidden="1"/>
    <cacheHierarchy uniqueName="[Measures].[__XL_Count Register]" caption="__XL_Count Register" measure="1" displayFolder="" measureGroup="Register" count="0" hidden="1"/>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measure="1" name="Measures" uniqueName="[Measures]" caption="Measures"/>
    <dimension name="Purchases" uniqueName="[Purchases]" caption="Purchases"/>
    <dimension name="Register" uniqueName="[Register]" caption="Register"/>
    <dimension name="Sales" uniqueName="[Sales]" caption="Sales"/>
  </dimensions>
  <measureGroups count="4">
    <measureGroup name="Calendar" caption="Calendar"/>
    <measureGroup name="Purchases" caption="Purchases"/>
    <measureGroup name="Register" caption="Register"/>
    <measureGroup name="Sales" caption="Sales"/>
  </measureGroups>
  <maps count="8">
    <map measureGroup="0" dimension="0"/>
    <map measureGroup="1" dimension="0"/>
    <map measureGroup="1" dimension="2"/>
    <map measureGroup="1" dimension="3"/>
    <map measureGroup="2" dimension="3"/>
    <map measureGroup="3" dimension="0"/>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98.707668750001" backgroundQuery="1" createdVersion="8" refreshedVersion="8" minRefreshableVersion="3" recordCount="0" supportSubquery="1" supportAdvancedDrill="1" xr:uid="{547DEEFB-C2AF-49D6-A39B-6C86F33C43BF}">
  <cacheSource type="external" connectionId="2"/>
  <cacheFields count="4">
    <cacheField name="[Calendar].[Month].[Month]" caption="Month" numFmtId="0" hierarchy="4" level="1">
      <sharedItems count="12">
        <s v="Jan"/>
        <s v="Feb"/>
        <s v="Mar"/>
        <s v="Apr"/>
        <s v="May"/>
        <s v="Jun"/>
        <s v="Jul"/>
        <s v="Aug"/>
        <s v="Sep"/>
        <s v="Oct"/>
        <s v="Nov"/>
        <s v="Dec"/>
      </sharedItems>
    </cacheField>
    <cacheField name="[Measures].[Qty sold]" caption="Qty sold" numFmtId="0" hierarchy="26" level="32767"/>
    <cacheField name="[Measures].[Quantity Purchased]" caption="Quantity Purchased" numFmtId="0" hierarchy="27" level="32767"/>
    <cacheField name="[Register].[Register].[Register]" caption="Register" numFmtId="0" hierarchy="17" level="1">
      <sharedItems containsSemiMixedTypes="0" containsNonDate="0" containsString="0"/>
    </cacheField>
  </cacheFields>
  <cacheHierarchies count="3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Purchases].[Purchase Date]" caption="Purchase Date" attribute="1" time="1" defaultMemberUniqueName="[Purchases].[Purchase Date].[All]" allUniqueName="[Purchases].[Purchase Date].[All]" dimensionUniqueName="[Purchases]" displayFolder="" count="0" memberValueDatatype="7" unbalanced="0"/>
    <cacheHierarchy uniqueName="[Purchases].[Item]" caption="Item" attribute="1" defaultMemberUniqueName="[Purchases].[Item].[All]" allUniqueName="[Purchases].[Item].[All]" dimensionUniqueName="[Purchases]" displayFolder="" count="0" memberValueDatatype="130" unbalanced="0"/>
    <cacheHierarchy uniqueName="[Purchases].[Qty Purchased]" caption="Qty Purchased" attribute="1" defaultMemberUniqueName="[Purchases].[Qty Purchased].[All]" allUniqueName="[Purchases].[Qty Purchased].[All]" dimensionUniqueName="[Purchases]" displayFolder="" count="0" memberValueDatatype="20" unbalanced="0"/>
    <cacheHierarchy uniqueName="[Purchases].[Unit Price]" caption="Unit Price" attribute="1" defaultMemberUniqueName="[Purchases].[Unit Price].[All]" allUniqueName="[Purchases].[Unit Price].[All]" dimensionUniqueName="[Purchases]" displayFolder="" count="0" memberValueDatatype="5" unbalanced="0"/>
    <cacheHierarchy uniqueName="[Purchases].[Cost of Qty Purchased]" caption="Cost of Qty Purchased" attribute="1" defaultMemberUniqueName="[Purchases].[Cost of Qty Purchased].[All]" allUniqueName="[Purchases].[Cost of Qty Purchased].[All]" dimensionUniqueName="[Purchases]" displayFolder="" count="0" memberValueDatatype="5" unbalanced="0"/>
    <cacheHierarchy uniqueName="[Purchases].[Units Sold]" caption="Units Sold" attribute="1" defaultMemberUniqueName="[Purchases].[Units Sold].[All]" allUniqueName="[Purchases].[Units Sold].[All]" dimensionUniqueName="[Purchases]" displayFolder="" count="0" memberValueDatatype="20" unbalanced="0"/>
    <cacheHierarchy uniqueName="[Purchases].[Units Remaining]" caption="Units Remaining" attribute="1" defaultMemberUniqueName="[Purchases].[Units Remaining].[All]" allUniqueName="[Purchases].[Units Remaining].[All]" dimensionUniqueName="[Purchases]" displayFolder="" count="0" memberValueDatatype="20" unbalanced="0"/>
    <cacheHierarchy uniqueName="[Purchases].[Cost of Goods Sold]" caption="Cost of Goods Sold" attribute="1" defaultMemberUniqueName="[Purchases].[Cost of Goods Sold].[All]" allUniqueName="[Purchases].[Cost of Goods Sold].[All]" dimensionUniqueName="[Purchases]" displayFolder="" count="0" memberValueDatatype="5" unbalanced="0"/>
    <cacheHierarchy uniqueName="[Purchases].[Inventory Value]" caption="Inventory Value" attribute="1" defaultMemberUniqueName="[Purchases].[Inventory Value].[All]" allUniqueName="[Purchases].[Inventory Value].[All]" dimensionUniqueName="[Purchases]" displayFolder="" count="0" memberValueDatatype="5" unbalanced="0"/>
    <cacheHierarchy uniqueName="[Register].[Register]" caption="Register" attribute="1" defaultMemberUniqueName="[Register].[Register].[All]" allUniqueName="[Register].[Register].[All]" dimensionUniqueName="[Register]" displayFolder="" count="2" memberValueDatatype="130" unbalanced="0">
      <fieldsUsage count="2">
        <fieldUsage x="-1"/>
        <fieldUsage x="3"/>
      </fieldsUsage>
    </cacheHierarchy>
    <cacheHierarchy uniqueName="[Sales].[Date]" caption="Date" attribute="1" time="1" defaultMemberUniqueName="[Sales].[Date].[All]" allUniqueName="[Sales].[Date].[All]" dimensionUniqueName="[Sales]" displayFolder="" count="0" memberValueDatatype="7" unbalanced="0"/>
    <cacheHierarchy uniqueName="[Sales].[Item]" caption="Item" attribute="1" defaultMemberUniqueName="[Sales].[Item].[All]" allUniqueName="[Sales].[Item].[All]" dimensionUniqueName="[Sales]" displayFolder="" count="0" memberValueDatatype="130" unbalanced="0"/>
    <cacheHierarchy uniqueName="[Sales].[Quantity Sold]" caption="Quantity Sold" attribute="1" defaultMemberUniqueName="[Sales].[Quantity Sold].[All]" allUniqueName="[Sales].[Quantity Sold].[All]" dimensionUniqueName="[Sales]" displayFolder="" count="0" memberValueDatatype="20" unbalanced="0"/>
    <cacheHierarchy uniqueName="[Sales].[Selling Price]" caption="Selling Price" attribute="1" defaultMemberUniqueName="[Sales].[Selling Price].[All]" allUniqueName="[Sales].[Selling Price].[All]" dimensionUniqueName="[Sales]" displayFolder="" count="0" memberValueDatatype="5" unbalanced="0"/>
    <cacheHierarchy uniqueName="[Measures].[Revenue]" caption="Revenue" measure="1" displayFolder="" measureGroup="Purchases" count="0"/>
    <cacheHierarchy uniqueName="[Measures].[COGS]" caption="COGS" measure="1" displayFolder="" measureGroup="Purchases" count="0"/>
    <cacheHierarchy uniqueName="[Measures].[Profit]" caption="Profit" measure="1" displayFolder="" measureGroup="Purchases" count="0"/>
    <cacheHierarchy uniqueName="[Measures].[Quantity Remaining]" caption="Quantity Remaining" measure="1" displayFolder="" measureGroup="Purchases" count="0"/>
    <cacheHierarchy uniqueName="[Measures].[Qty sold]" caption="Qty sold" measure="1" displayFolder="" measureGroup="Purchases" count="0" oneField="1">
      <fieldsUsage count="1">
        <fieldUsage x="1"/>
      </fieldsUsage>
    </cacheHierarchy>
    <cacheHierarchy uniqueName="[Measures].[Quantity Purchased]" caption="Quantity Purchased" measure="1" displayFolder="" measureGroup="Purchases" count="0" oneField="1">
      <fieldsUsage count="1">
        <fieldUsage x="2"/>
      </fieldsUsage>
    </cacheHierarchy>
    <cacheHierarchy uniqueName="[Measures].[__XL_Count Purchases]" caption="__XL_Count Purchases" measure="1" displayFolder="" measureGroup="Purchases" count="0" hidden="1"/>
    <cacheHierarchy uniqueName="[Measures].[__XL_Count Register]" caption="__XL_Count Register" measure="1" displayFolder="" measureGroup="Register" count="0" hidden="1"/>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measure="1" name="Measures" uniqueName="[Measures]" caption="Measures"/>
    <dimension name="Purchases" uniqueName="[Purchases]" caption="Purchases"/>
    <dimension name="Register" uniqueName="[Register]" caption="Register"/>
    <dimension name="Sales" uniqueName="[Sales]" caption="Sales"/>
  </dimensions>
  <measureGroups count="4">
    <measureGroup name="Calendar" caption="Calendar"/>
    <measureGroup name="Purchases" caption="Purchases"/>
    <measureGroup name="Register" caption="Register"/>
    <measureGroup name="Sales" caption="Sales"/>
  </measureGroups>
  <maps count="8">
    <map measureGroup="0" dimension="0"/>
    <map measureGroup="1" dimension="0"/>
    <map measureGroup="1" dimension="2"/>
    <map measureGroup="1" dimension="3"/>
    <map measureGroup="2" dimension="3"/>
    <map measureGroup="3" dimension="0"/>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98.706265393521" backgroundQuery="1" createdVersion="3" refreshedVersion="8" minRefreshableVersion="3" recordCount="0" supportSubquery="1" supportAdvancedDrill="1" xr:uid="{5A437373-1EFF-4178-ACBB-A524375E025A}">
  <cacheSource type="external" connectionId="2">
    <extLst>
      <ext xmlns:x14="http://schemas.microsoft.com/office/spreadsheetml/2009/9/main" uri="{F057638F-6D5F-4e77-A914-E7F072B9BCA8}">
        <x14:sourceConnection name="ThisWorkbookDataModel"/>
      </ext>
    </extLst>
  </cacheSource>
  <cacheFields count="0"/>
  <cacheHierarchies count="3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Purchases].[Purchase Date]" caption="Purchase Date" attribute="1" time="1" defaultMemberUniqueName="[Purchases].[Purchase Date].[All]" allUniqueName="[Purchases].[Purchase Date].[All]" dimensionUniqueName="[Purchases]" displayFolder="" count="0" memberValueDatatype="7" unbalanced="0"/>
    <cacheHierarchy uniqueName="[Purchases].[Item]" caption="Item" attribute="1" defaultMemberUniqueName="[Purchases].[Item].[All]" allUniqueName="[Purchases].[Item].[All]" dimensionUniqueName="[Purchases]" displayFolder="" count="0" memberValueDatatype="130" unbalanced="0"/>
    <cacheHierarchy uniqueName="[Purchases].[Qty Purchased]" caption="Qty Purchased" attribute="1" defaultMemberUniqueName="[Purchases].[Qty Purchased].[All]" allUniqueName="[Purchases].[Qty Purchased].[All]" dimensionUniqueName="[Purchases]" displayFolder="" count="0" memberValueDatatype="20" unbalanced="0"/>
    <cacheHierarchy uniqueName="[Purchases].[Unit Price]" caption="Unit Price" attribute="1" defaultMemberUniqueName="[Purchases].[Unit Price].[All]" allUniqueName="[Purchases].[Unit Price].[All]" dimensionUniqueName="[Purchases]" displayFolder="" count="0" memberValueDatatype="5" unbalanced="0"/>
    <cacheHierarchy uniqueName="[Purchases].[Cost of Qty Purchased]" caption="Cost of Qty Purchased" attribute="1" defaultMemberUniqueName="[Purchases].[Cost of Qty Purchased].[All]" allUniqueName="[Purchases].[Cost of Qty Purchased].[All]" dimensionUniqueName="[Purchases]" displayFolder="" count="0" memberValueDatatype="5" unbalanced="0"/>
    <cacheHierarchy uniqueName="[Purchases].[Units Sold]" caption="Units Sold" attribute="1" defaultMemberUniqueName="[Purchases].[Units Sold].[All]" allUniqueName="[Purchases].[Units Sold].[All]" dimensionUniqueName="[Purchases]" displayFolder="" count="0" memberValueDatatype="20" unbalanced="0"/>
    <cacheHierarchy uniqueName="[Purchases].[Units Remaining]" caption="Units Remaining" attribute="1" defaultMemberUniqueName="[Purchases].[Units Remaining].[All]" allUniqueName="[Purchases].[Units Remaining].[All]" dimensionUniqueName="[Purchases]" displayFolder="" count="0" memberValueDatatype="20" unbalanced="0"/>
    <cacheHierarchy uniqueName="[Purchases].[Cost of Goods Sold]" caption="Cost of Goods Sold" attribute="1" defaultMemberUniqueName="[Purchases].[Cost of Goods Sold].[All]" allUniqueName="[Purchases].[Cost of Goods Sold].[All]" dimensionUniqueName="[Purchases]" displayFolder="" count="0" memberValueDatatype="5" unbalanced="0"/>
    <cacheHierarchy uniqueName="[Purchases].[Inventory Value]" caption="Inventory Value" attribute="1" defaultMemberUniqueName="[Purchases].[Inventory Value].[All]" allUniqueName="[Purchases].[Inventory Value].[All]" dimensionUniqueName="[Purchases]" displayFolder="" count="0" memberValueDatatype="5" unbalanced="0"/>
    <cacheHierarchy uniqueName="[Register].[Register]" caption="Register" attribute="1" defaultMemberUniqueName="[Register].[Register].[All]" allUniqueName="[Register].[Register].[All]" dimensionUniqueName="[Register]" displayFolder="" count="2" memberValueDatatype="130" unbalanced="0"/>
    <cacheHierarchy uniqueName="[Sales].[Date]" caption="Date" attribute="1" time="1" defaultMemberUniqueName="[Sales].[Date].[All]" allUniqueName="[Sales].[Date].[All]" dimensionUniqueName="[Sales]" displayFolder="" count="0" memberValueDatatype="7" unbalanced="0"/>
    <cacheHierarchy uniqueName="[Sales].[Item]" caption="Item" attribute="1" defaultMemberUniqueName="[Sales].[Item].[All]" allUniqueName="[Sales].[Item].[All]" dimensionUniqueName="[Sales]" displayFolder="" count="0" memberValueDatatype="130" unbalanced="0"/>
    <cacheHierarchy uniqueName="[Sales].[Quantity Sold]" caption="Quantity Sold" attribute="1" defaultMemberUniqueName="[Sales].[Quantity Sold].[All]" allUniqueName="[Sales].[Quantity Sold].[All]" dimensionUniqueName="[Sales]" displayFolder="" count="0" memberValueDatatype="20" unbalanced="0"/>
    <cacheHierarchy uniqueName="[Sales].[Selling Price]" caption="Selling Price" attribute="1" defaultMemberUniqueName="[Sales].[Selling Price].[All]" allUniqueName="[Sales].[Selling Price].[All]" dimensionUniqueName="[Sales]" displayFolder="" count="0" memberValueDatatype="5" unbalanced="0"/>
    <cacheHierarchy uniqueName="[Measures].[Revenue]" caption="Revenue" measure="1" displayFolder="" measureGroup="Purchases" count="0"/>
    <cacheHierarchy uniqueName="[Measures].[COGS]" caption="COGS" measure="1" displayFolder="" measureGroup="Purchases" count="0"/>
    <cacheHierarchy uniqueName="[Measures].[Profit]" caption="Profit" measure="1" displayFolder="" measureGroup="Purchases" count="0"/>
    <cacheHierarchy uniqueName="[Measures].[Quantity Remaining]" caption="Quantity Remaining" measure="1" displayFolder="" measureGroup="Purchases" count="0"/>
    <cacheHierarchy uniqueName="[Measures].[Qty sold]" caption="Qty sold" measure="1" displayFolder="" measureGroup="Purchases" count="0"/>
    <cacheHierarchy uniqueName="[Measures].[Quantity Purchased]" caption="Quantity Purchased" measure="1" displayFolder="" measureGroup="Purchases" count="0"/>
    <cacheHierarchy uniqueName="[Measures].[__XL_Count Purchases]" caption="__XL_Count Purchases" measure="1" displayFolder="" measureGroup="Purchases" count="0" hidden="1"/>
    <cacheHierarchy uniqueName="[Measures].[__XL_Count Register]" caption="__XL_Count Register" measure="1" displayFolder="" measureGroup="Register" count="0" hidden="1"/>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371781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D1470D-3FC5-4DA1-B403-05FDCA70CC32}" name="PivotTable3" cacheId="189" applyNumberFormats="0" applyBorderFormats="0" applyFontFormats="0" applyPatternFormats="0" applyAlignmentFormats="0" applyWidthHeightFormats="1" dataCaption="Values" tag="7a6f6379-b0eb-4c8f-9727-9520de850d5c" updatedVersion="8" minRefreshableVersion="3" useAutoFormatting="1" subtotalHiddenItems="1" itemPrintTitles="1" createdVersion="8" indent="0" showEmptyRow="1" outline="1" outlineData="1" multipleFieldFilters="0" chartFormat="10">
  <location ref="K4:M17" firstHeaderRow="0"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fld="1" subtotal="count" baseField="0" baseItem="0"/>
    <dataField fld="2"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Hierarchies count="33">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urchas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23191E-3ED7-46E0-9063-73CDE8C223C9}" name="PivotTable2" cacheId="186" dataOnRows="1" applyNumberFormats="0" applyBorderFormats="0" applyFontFormats="0" applyPatternFormats="0" applyAlignmentFormats="0" applyWidthHeightFormats="1" dataCaption="Values" tag="943b710e-58e9-4d56-8d6e-80765da70fe2" updatedVersion="8" minRefreshableVersion="3" useAutoFormatting="1" subtotalHiddenItems="1" itemPrintTitles="1" createdVersion="8" indent="0" outline="1" outlineData="1" multipleFieldFilters="0" chartFormat="19">
  <location ref="H4:I6" firstHeaderRow="1" firstDataRow="1" firstDataCol="1"/>
  <pivotFields count="3">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2">
    <i>
      <x/>
    </i>
    <i i="1">
      <x v="1"/>
    </i>
  </rowItems>
  <colItems count="1">
    <i/>
  </colItems>
  <dataFields count="2">
    <dataField fld="0" subtotal="count" baseField="0" baseItem="0"/>
    <dataField fld="1" subtotal="count" baseField="0" baseItem="0"/>
  </dataFields>
  <chartFormats count="3">
    <chartFormat chart="13" format="5" series="1">
      <pivotArea type="data" outline="0" fieldPosition="0">
        <references count="1">
          <reference field="4294967294" count="1" selected="0">
            <x v="0"/>
          </reference>
        </references>
      </pivotArea>
    </chartFormat>
    <chartFormat chart="13" format="6">
      <pivotArea type="data" outline="0" fieldPosition="0">
        <references count="1">
          <reference field="4294967294" count="1" selected="0">
            <x v="0"/>
          </reference>
        </references>
      </pivotArea>
    </chartFormat>
    <chartFormat chart="13" format="7">
      <pivotArea type="data" outline="0" fieldPosition="0">
        <references count="1">
          <reference field="4294967294" count="1" selected="0">
            <x v="1"/>
          </reference>
        </references>
      </pivotArea>
    </chartFormat>
  </chartFormats>
  <pivotHierarchies count="33">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urcha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CB8A79-D3F7-44D7-A49F-723534D05BB0}" name="PivotTable1" cacheId="183" applyNumberFormats="0" applyBorderFormats="0" applyFontFormats="0" applyPatternFormats="0" applyAlignmentFormats="0" applyWidthHeightFormats="1" dataCaption="Values" tag="aea310ae-6e16-44e3-ade5-2a8fcbf6d62c" updatedVersion="8" minRefreshableVersion="3" useAutoFormatting="1" subtotalHiddenItems="1" itemPrintTitles="1" createdVersion="8" indent="0" outline="1" outlineData="1" multipleFieldFilters="0">
  <location ref="A1:F2"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fld="0" subtotal="count" baseField="0" baseItem="0"/>
    <dataField fld="1" subtotal="count" baseField="0" baseItem="0"/>
    <dataField fld="2" subtotal="count" baseField="0" baseItem="0"/>
    <dataField fld="3" subtotal="count" baseField="0" baseItem="0"/>
    <dataField fld="4" subtotal="count" baseField="0" baseItem="0"/>
    <dataField fld="5" subtotal="count" baseField="0" baseItem="0"/>
  </dataFields>
  <pivotHierarchies count="33">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urchas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ster" xr10:uid="{5230F517-D9E4-420C-A5DC-F166A3DF7BF3}" sourceName="[Register].[Register]">
  <pivotTables>
    <pivotTable tabId="4" name="PivotTable1"/>
    <pivotTable tabId="4" name="PivotTable2"/>
    <pivotTable tabId="4" name="PivotTable3"/>
  </pivotTables>
  <data>
    <olap pivotCacheId="203717811">
      <levels count="2">
        <level uniqueName="[Register].[Register].[(All)]" sourceCaption="(All)" count="0"/>
        <level uniqueName="[Register].[Register].[Register]" sourceCaption="Register" count="3">
          <ranges>
            <range startItem="0">
              <i n="[Register].[Register].&amp;[Banana]" c="Banana"/>
              <i n="[Register].[Register].&amp;[Mango]" c="Mango"/>
              <i n="[Register].[Register].&amp;[Orange]" c="Orange"/>
            </range>
          </ranges>
        </level>
      </levels>
      <selections count="1">
        <selection n="[Register].[Regist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ster" xr10:uid="{64E5B460-B71D-4FF5-8A1D-B80A0B1ACF2B}" cache="Slicer_Register" caption="Register" level="1" style="SlicerStyleDark2" rowHeight="36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0E1750A-5CE6-4199-99A3-E8FB12BD2661}" name="Purchases" displayName="Purchases" ref="B3:J17" totalsRowShown="0" headerRowDxfId="17" headerRowBorderDxfId="16" tableBorderDxfId="15" totalsRowBorderDxfId="14">
  <autoFilter ref="B3:J17" xr:uid="{10E1750A-5CE6-4199-99A3-E8FB12BD2661}"/>
  <tableColumns count="9">
    <tableColumn id="1" xr3:uid="{C31A71EE-64B1-48CC-A46F-0746B4AD117B}" name="Purchase Date" dataDxfId="13"/>
    <tableColumn id="2" xr3:uid="{C3333FE4-CB1B-4FBD-B9FC-9EE79FAAA212}" name="Item" dataDxfId="12"/>
    <tableColumn id="3" xr3:uid="{2D2E8C49-E01A-4596-8B1D-91EDB1A2AF14}" name="Qty Purchased" dataDxfId="11"/>
    <tableColumn id="4" xr3:uid="{7F0145E4-7A34-4367-B3DA-1DC7CC45C20D}" name="Unit Price" dataDxfId="10"/>
    <tableColumn id="5" xr3:uid="{62C93DE4-0F28-477E-9F0D-43373C61F478}" name="Cost of Qty Purchased" dataDxfId="9">
      <calculatedColumnFormula>Purchases[[#This Row],[Unit Price]]*Purchases[[#This Row],[Qty Purchased]]</calculatedColumnFormula>
    </tableColumn>
    <tableColumn id="6" xr3:uid="{30888BA3-3F90-4E38-9E3B-37E84B231D55}" name="Units Sold" dataDxfId="8">
      <calculatedColumnFormula>MIN(Purchases[[#This Row],[Qty Purchased]],SUMIFS(Sales[Quantity Sold],Sales[Item],Purchases[[#This Row],[Item]])-SUMIFS($G$3:G3,$C$3:C3,C4))</calculatedColumnFormula>
    </tableColumn>
    <tableColumn id="7" xr3:uid="{9F44A2D5-2376-42B6-B524-58B573FC2A04}" name="Units Remaining" dataDxfId="7">
      <calculatedColumnFormula>D4-G4</calculatedColumnFormula>
    </tableColumn>
    <tableColumn id="8" xr3:uid="{0DEC1C1A-2D27-49BC-B44E-A157B5532A40}" name="Cost of Goods Sold" dataDxfId="6">
      <calculatedColumnFormula>G4*E4</calculatedColumnFormula>
    </tableColumn>
    <tableColumn id="9" xr3:uid="{CB6A2FB6-2FD9-41E9-9019-D7262852155C}" name="Inventory Value" dataDxfId="5">
      <calculatedColumnFormula>H4*E4</calculatedColumnFormula>
    </tableColumn>
  </tableColumns>
  <tableStyleInfo name="TableStyleMedium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3974C61-12E3-4A01-8C36-ABA0383B5334}" name="Register" displayName="Register" ref="L3:L6" totalsRowShown="0" headerRowDxfId="4" headerRowBorderDxfId="3" tableBorderDxfId="2" totalsRowBorderDxfId="1">
  <autoFilter ref="L3:L6" xr:uid="{A3974C61-12E3-4A01-8C36-ABA0383B5334}"/>
  <tableColumns count="1">
    <tableColumn id="1" xr3:uid="{D2486BB5-701C-4A80-A234-CE0295FB3335}" name="Register" dataDxfId="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3413864-663B-4168-8AE6-7ABFF60889B9}" name="Sales" displayName="Sales" ref="B4:E14" totalsRowShown="0" headerRowDxfId="25" headerRowBorderDxfId="24" tableBorderDxfId="23" totalsRowBorderDxfId="22">
  <autoFilter ref="B4:E14" xr:uid="{73413864-663B-4168-8AE6-7ABFF60889B9}"/>
  <tableColumns count="4">
    <tableColumn id="1" xr3:uid="{33BF8475-70FA-4036-B658-4ADA3E7FE53C}" name="Date" dataDxfId="21"/>
    <tableColumn id="2" xr3:uid="{5F8C2D43-F557-4CFC-BEBD-646B2A86D440}" name="Item" dataDxfId="20"/>
    <tableColumn id="3" xr3:uid="{F0FAB512-3F41-4955-B6A2-AFD984479D6E}" name="Quantity Sold" dataDxfId="19"/>
    <tableColumn id="4" xr3:uid="{E71294E7-643F-4940-9CA6-5F058BF07A97}" name="Selling Price" dataDxfId="1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26E6A-D7D6-4289-A0E6-E486B1E0A3B6}">
  <dimension ref="C1:R33"/>
  <sheetViews>
    <sheetView showGridLines="0" tabSelected="1" topLeftCell="A2" zoomScale="47" workbookViewId="0">
      <selection activeCell="T28" sqref="T28"/>
    </sheetView>
  </sheetViews>
  <sheetFormatPr defaultRowHeight="14.5" x14ac:dyDescent="0.35"/>
  <cols>
    <col min="1" max="16384" width="8.7265625" style="1"/>
  </cols>
  <sheetData>
    <row r="1" spans="3:18" ht="87" customHeight="1" x14ac:dyDescent="0.35"/>
    <row r="2" spans="3:18" ht="19" customHeight="1" x14ac:dyDescent="0.35">
      <c r="C2" s="24" t="s">
        <v>22</v>
      </c>
      <c r="D2" s="24"/>
      <c r="E2" s="24"/>
      <c r="G2" s="24" t="s">
        <v>23</v>
      </c>
      <c r="H2" s="24"/>
      <c r="I2" s="24"/>
      <c r="K2" s="24" t="s">
        <v>24</v>
      </c>
      <c r="L2" s="24"/>
      <c r="M2" s="24"/>
      <c r="O2" s="24" t="s">
        <v>19</v>
      </c>
      <c r="P2" s="24"/>
      <c r="Q2" s="24"/>
    </row>
    <row r="12" spans="3:18" ht="11" customHeight="1" x14ac:dyDescent="0.35">
      <c r="C12" s="24" t="s">
        <v>25</v>
      </c>
      <c r="D12" s="24"/>
      <c r="E12" s="24"/>
      <c r="F12" s="24"/>
      <c r="G12" s="24"/>
      <c r="H12" s="24"/>
      <c r="I12" s="24"/>
      <c r="K12" s="24" t="s">
        <v>26</v>
      </c>
      <c r="L12" s="24"/>
      <c r="M12" s="24"/>
      <c r="N12" s="24"/>
      <c r="O12" s="24"/>
      <c r="P12" s="24"/>
      <c r="Q12" s="24"/>
      <c r="R12" s="24"/>
    </row>
    <row r="33" spans="8:8" x14ac:dyDescent="0.35">
      <c r="H33" s="27"/>
    </row>
  </sheetData>
  <mergeCells count="6">
    <mergeCell ref="C2:E2"/>
    <mergeCell ref="G2:I2"/>
    <mergeCell ref="K2:M2"/>
    <mergeCell ref="O2:Q2"/>
    <mergeCell ref="C12:I12"/>
    <mergeCell ref="K12:R1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CB589-1309-473D-A102-95B09789503E}">
  <dimension ref="B3:L17"/>
  <sheetViews>
    <sheetView showGridLines="0" zoomScale="52" workbookViewId="0">
      <selection activeCell="J28" sqref="J28"/>
    </sheetView>
  </sheetViews>
  <sheetFormatPr defaultRowHeight="14.5" x14ac:dyDescent="0.35"/>
  <cols>
    <col min="2" max="2" width="15.81640625" customWidth="1"/>
    <col min="3" max="3" width="13.08984375" customWidth="1"/>
    <col min="4" max="4" width="14.90625" customWidth="1"/>
    <col min="5" max="5" width="11" customWidth="1"/>
    <col min="6" max="6" width="21.08984375" customWidth="1"/>
    <col min="7" max="7" width="11.36328125" customWidth="1"/>
    <col min="8" max="8" width="16.6328125" customWidth="1"/>
    <col min="9" max="9" width="18.6328125" customWidth="1"/>
    <col min="10" max="10" width="16.08984375" customWidth="1"/>
    <col min="12" max="12" width="14.26953125" bestFit="1" customWidth="1"/>
  </cols>
  <sheetData>
    <row r="3" spans="2:12" x14ac:dyDescent="0.35">
      <c r="B3" s="7" t="s">
        <v>0</v>
      </c>
      <c r="C3" s="8" t="s">
        <v>1</v>
      </c>
      <c r="D3" s="8" t="s">
        <v>2</v>
      </c>
      <c r="E3" s="8" t="s">
        <v>3</v>
      </c>
      <c r="F3" s="8" t="s">
        <v>12</v>
      </c>
      <c r="G3" s="8" t="s">
        <v>4</v>
      </c>
      <c r="H3" s="8" t="s">
        <v>5</v>
      </c>
      <c r="I3" s="8" t="s">
        <v>6</v>
      </c>
      <c r="J3" s="9" t="s">
        <v>7</v>
      </c>
      <c r="L3" s="19" t="s">
        <v>11</v>
      </c>
    </row>
    <row r="4" spans="2:12" x14ac:dyDescent="0.35">
      <c r="B4" s="5">
        <v>44562</v>
      </c>
      <c r="C4" s="3" t="s">
        <v>8</v>
      </c>
      <c r="D4" s="3">
        <v>43</v>
      </c>
      <c r="E4" s="4">
        <v>2.5</v>
      </c>
      <c r="F4" s="2">
        <f>Purchases[[#This Row],[Unit Price]]*Purchases[[#This Row],[Qty Purchased]]</f>
        <v>107.5</v>
      </c>
      <c r="G4" s="2">
        <f>MIN(Purchases[[#This Row],[Qty Purchased]],SUMIFS(Sales[Quantity Sold],Sales[Item],Purchases[[#This Row],[Item]])-SUMIFS($G$3:G3,$C$3:C3,C4))</f>
        <v>43</v>
      </c>
      <c r="H4" s="2">
        <f t="shared" ref="H4:H17" si="0">D4-G4</f>
        <v>0</v>
      </c>
      <c r="I4" s="2">
        <f t="shared" ref="I4:I17" si="1">G4*E4</f>
        <v>107.5</v>
      </c>
      <c r="J4" s="6">
        <f t="shared" ref="J4:J17" si="2">H4*E4</f>
        <v>0</v>
      </c>
      <c r="L4" s="18" t="s">
        <v>8</v>
      </c>
    </row>
    <row r="5" spans="2:12" x14ac:dyDescent="0.35">
      <c r="B5" s="5">
        <v>44569</v>
      </c>
      <c r="C5" s="3" t="s">
        <v>9</v>
      </c>
      <c r="D5" s="3">
        <v>42</v>
      </c>
      <c r="E5" s="4">
        <v>2.4</v>
      </c>
      <c r="F5" s="2">
        <f>Purchases[[#This Row],[Unit Price]]*Purchases[[#This Row],[Qty Purchased]]</f>
        <v>100.8</v>
      </c>
      <c r="G5" s="2">
        <f>MIN(Purchases[[#This Row],[Qty Purchased]],SUMIFS(Sales[Quantity Sold],Sales[Item],Purchases[[#This Row],[Item]])-SUMIFS($G$3:G4,$C$3:C4,C5))</f>
        <v>42</v>
      </c>
      <c r="H5" s="2">
        <f t="shared" si="0"/>
        <v>0</v>
      </c>
      <c r="I5" s="2">
        <f t="shared" si="1"/>
        <v>100.8</v>
      </c>
      <c r="J5" s="6">
        <f t="shared" si="2"/>
        <v>0</v>
      </c>
      <c r="L5" s="18" t="s">
        <v>9</v>
      </c>
    </row>
    <row r="6" spans="2:12" x14ac:dyDescent="0.35">
      <c r="B6" s="5">
        <v>44576</v>
      </c>
      <c r="C6" s="3" t="s">
        <v>10</v>
      </c>
      <c r="D6" s="3">
        <v>54</v>
      </c>
      <c r="E6" s="4">
        <v>2.2999999999999998</v>
      </c>
      <c r="F6" s="2">
        <f>Purchases[[#This Row],[Unit Price]]*Purchases[[#This Row],[Qty Purchased]]</f>
        <v>124.19999999999999</v>
      </c>
      <c r="G6" s="2">
        <f>MIN(Purchases[[#This Row],[Qty Purchased]],SUMIFS(Sales[Quantity Sold],Sales[Item],Purchases[[#This Row],[Item]])-SUMIFS($G$3:G5,$C$3:C5,C6))</f>
        <v>27</v>
      </c>
      <c r="H6" s="2">
        <f t="shared" si="0"/>
        <v>27</v>
      </c>
      <c r="I6" s="2">
        <f t="shared" si="1"/>
        <v>62.099999999999994</v>
      </c>
      <c r="J6" s="6">
        <f t="shared" si="2"/>
        <v>62.099999999999994</v>
      </c>
      <c r="L6" s="15" t="s">
        <v>10</v>
      </c>
    </row>
    <row r="7" spans="2:12" x14ac:dyDescent="0.35">
      <c r="B7" s="5">
        <v>44583</v>
      </c>
      <c r="C7" s="3" t="s">
        <v>10</v>
      </c>
      <c r="D7" s="3">
        <v>12</v>
      </c>
      <c r="E7" s="4">
        <v>3</v>
      </c>
      <c r="F7" s="2">
        <f>Purchases[[#This Row],[Unit Price]]*Purchases[[#This Row],[Qty Purchased]]</f>
        <v>36</v>
      </c>
      <c r="G7" s="2">
        <f>MIN(Purchases[[#This Row],[Qty Purchased]],SUMIFS(Sales[Quantity Sold],Sales[Item],Purchases[[#This Row],[Item]])-SUMIFS($G$3:G6,$C$3:C6,C7))</f>
        <v>0</v>
      </c>
      <c r="H7" s="2">
        <f t="shared" si="0"/>
        <v>12</v>
      </c>
      <c r="I7" s="2">
        <f t="shared" si="1"/>
        <v>0</v>
      </c>
      <c r="J7" s="6">
        <f t="shared" si="2"/>
        <v>36</v>
      </c>
    </row>
    <row r="8" spans="2:12" x14ac:dyDescent="0.35">
      <c r="B8" s="5">
        <v>44590</v>
      </c>
      <c r="C8" s="3" t="s">
        <v>8</v>
      </c>
      <c r="D8" s="3">
        <v>12</v>
      </c>
      <c r="E8" s="4">
        <v>3.2</v>
      </c>
      <c r="F8" s="2">
        <f>Purchases[[#This Row],[Unit Price]]*Purchases[[#This Row],[Qty Purchased]]</f>
        <v>38.400000000000006</v>
      </c>
      <c r="G8" s="2">
        <f>MIN(Purchases[[#This Row],[Qty Purchased]],SUMIFS(Sales[Quantity Sold],Sales[Item],Purchases[[#This Row],[Item]])-SUMIFS($G$3:G7,$C$3:C7,C8))</f>
        <v>12</v>
      </c>
      <c r="H8" s="2">
        <f t="shared" si="0"/>
        <v>0</v>
      </c>
      <c r="I8" s="2">
        <f t="shared" si="1"/>
        <v>38.400000000000006</v>
      </c>
      <c r="J8" s="6">
        <f t="shared" si="2"/>
        <v>0</v>
      </c>
    </row>
    <row r="9" spans="2:12" x14ac:dyDescent="0.35">
      <c r="B9" s="5">
        <v>44597</v>
      </c>
      <c r="C9" s="3" t="s">
        <v>8</v>
      </c>
      <c r="D9" s="3">
        <v>10</v>
      </c>
      <c r="E9" s="4">
        <v>3.2</v>
      </c>
      <c r="F9" s="2">
        <f>Purchases[[#This Row],[Unit Price]]*Purchases[[#This Row],[Qty Purchased]]</f>
        <v>32</v>
      </c>
      <c r="G9" s="2">
        <f>MIN(Purchases[[#This Row],[Qty Purchased]],SUMIFS(Sales[Quantity Sold],Sales[Item],Purchases[[#This Row],[Item]])-SUMIFS($G$3:G8,$C$3:C8,C9))</f>
        <v>10</v>
      </c>
      <c r="H9" s="2">
        <f t="shared" si="0"/>
        <v>0</v>
      </c>
      <c r="I9" s="2">
        <f t="shared" si="1"/>
        <v>32</v>
      </c>
      <c r="J9" s="6">
        <f t="shared" si="2"/>
        <v>0</v>
      </c>
    </row>
    <row r="10" spans="2:12" x14ac:dyDescent="0.35">
      <c r="B10" s="5">
        <v>44604</v>
      </c>
      <c r="C10" s="3" t="s">
        <v>9</v>
      </c>
      <c r="D10" s="3">
        <v>5</v>
      </c>
      <c r="E10" s="4">
        <v>3.2</v>
      </c>
      <c r="F10" s="2">
        <f>Purchases[[#This Row],[Unit Price]]*Purchases[[#This Row],[Qty Purchased]]</f>
        <v>16</v>
      </c>
      <c r="G10" s="2">
        <f>MIN(Purchases[[#This Row],[Qty Purchased]],SUMIFS(Sales[Quantity Sold],Sales[Item],Purchases[[#This Row],[Item]])-SUMIFS($G$3:G9,$C$3:C9,C10))</f>
        <v>5</v>
      </c>
      <c r="H10" s="2">
        <f t="shared" si="0"/>
        <v>0</v>
      </c>
      <c r="I10" s="2">
        <f t="shared" si="1"/>
        <v>16</v>
      </c>
      <c r="J10" s="6">
        <f t="shared" si="2"/>
        <v>0</v>
      </c>
    </row>
    <row r="11" spans="2:12" x14ac:dyDescent="0.35">
      <c r="B11" s="5">
        <v>44611</v>
      </c>
      <c r="C11" s="3" t="s">
        <v>8</v>
      </c>
      <c r="D11" s="3">
        <v>50</v>
      </c>
      <c r="E11" s="4">
        <v>3.2</v>
      </c>
      <c r="F11" s="2">
        <f>Purchases[[#This Row],[Unit Price]]*Purchases[[#This Row],[Qty Purchased]]</f>
        <v>160</v>
      </c>
      <c r="G11" s="2">
        <f>MIN(Purchases[[#This Row],[Qty Purchased]],SUMIFS(Sales[Quantity Sold],Sales[Item],Purchases[[#This Row],[Item]])-SUMIFS($G$3:G10,$C$3:C10,C11))</f>
        <v>38</v>
      </c>
      <c r="H11" s="2">
        <f t="shared" si="0"/>
        <v>12</v>
      </c>
      <c r="I11" s="2">
        <f t="shared" si="1"/>
        <v>121.60000000000001</v>
      </c>
      <c r="J11" s="6">
        <f t="shared" si="2"/>
        <v>38.400000000000006</v>
      </c>
    </row>
    <row r="12" spans="2:12" x14ac:dyDescent="0.35">
      <c r="B12" s="5">
        <v>44632</v>
      </c>
      <c r="C12" s="3" t="s">
        <v>8</v>
      </c>
      <c r="D12" s="3">
        <v>50</v>
      </c>
      <c r="E12" s="4">
        <v>4</v>
      </c>
      <c r="F12" s="2">
        <f>Purchases[[#This Row],[Unit Price]]*Purchases[[#This Row],[Qty Purchased]]</f>
        <v>200</v>
      </c>
      <c r="G12" s="2">
        <f>MIN(Purchases[[#This Row],[Qty Purchased]],SUMIFS(Sales[Quantity Sold],Sales[Item],Purchases[[#This Row],[Item]])-SUMIFS($G$3:G11,$C$3:C11,C12))</f>
        <v>0</v>
      </c>
      <c r="H12" s="2">
        <f t="shared" si="0"/>
        <v>50</v>
      </c>
      <c r="I12" s="2">
        <f t="shared" si="1"/>
        <v>0</v>
      </c>
      <c r="J12" s="6">
        <f t="shared" si="2"/>
        <v>200</v>
      </c>
    </row>
    <row r="13" spans="2:12" x14ac:dyDescent="0.35">
      <c r="B13" s="5">
        <v>44632</v>
      </c>
      <c r="C13" s="3" t="s">
        <v>10</v>
      </c>
      <c r="D13" s="3">
        <v>10</v>
      </c>
      <c r="E13" s="4">
        <v>3</v>
      </c>
      <c r="F13" s="2">
        <f>Purchases[[#This Row],[Unit Price]]*Purchases[[#This Row],[Qty Purchased]]</f>
        <v>30</v>
      </c>
      <c r="G13" s="2">
        <f>MIN(Purchases[[#This Row],[Qty Purchased]],SUMIFS(Sales[Quantity Sold],Sales[Item],Purchases[[#This Row],[Item]])-SUMIFS($G$3:G12,$C$3:C12,C13))</f>
        <v>0</v>
      </c>
      <c r="H13" s="2">
        <f t="shared" si="0"/>
        <v>10</v>
      </c>
      <c r="I13" s="2">
        <f t="shared" si="1"/>
        <v>0</v>
      </c>
      <c r="J13" s="6">
        <f t="shared" si="2"/>
        <v>30</v>
      </c>
    </row>
    <row r="14" spans="2:12" x14ac:dyDescent="0.35">
      <c r="B14" s="5">
        <v>44632</v>
      </c>
      <c r="C14" s="3" t="s">
        <v>8</v>
      </c>
      <c r="D14" s="3">
        <v>30</v>
      </c>
      <c r="E14" s="4">
        <v>4</v>
      </c>
      <c r="F14" s="2">
        <f>Purchases[[#This Row],[Unit Price]]*Purchases[[#This Row],[Qty Purchased]]</f>
        <v>120</v>
      </c>
      <c r="G14" s="2">
        <f>MIN(Purchases[[#This Row],[Qty Purchased]],SUMIFS(Sales[Quantity Sold],Sales[Item],Purchases[[#This Row],[Item]])-SUMIFS($G$3:G13,$C$3:C13,C14))</f>
        <v>0</v>
      </c>
      <c r="H14" s="2">
        <f t="shared" si="0"/>
        <v>30</v>
      </c>
      <c r="I14" s="2">
        <f t="shared" si="1"/>
        <v>0</v>
      </c>
      <c r="J14" s="6">
        <f t="shared" si="2"/>
        <v>120</v>
      </c>
    </row>
    <row r="15" spans="2:12" x14ac:dyDescent="0.35">
      <c r="B15" s="5">
        <v>44663</v>
      </c>
      <c r="C15" s="3" t="s">
        <v>8</v>
      </c>
      <c r="D15" s="3">
        <v>40</v>
      </c>
      <c r="E15" s="4">
        <v>4.5</v>
      </c>
      <c r="F15" s="2">
        <f>Purchases[[#This Row],[Unit Price]]*Purchases[[#This Row],[Qty Purchased]]</f>
        <v>180</v>
      </c>
      <c r="G15" s="2">
        <f>MIN(Purchases[[#This Row],[Qty Purchased]],SUMIFS(Sales[Quantity Sold],Sales[Item],Purchases[[#This Row],[Item]])-SUMIFS($G$3:G14,$C$3:C14,C15))</f>
        <v>0</v>
      </c>
      <c r="H15" s="2">
        <f t="shared" si="0"/>
        <v>40</v>
      </c>
      <c r="I15" s="2">
        <f t="shared" si="1"/>
        <v>0</v>
      </c>
      <c r="J15" s="6">
        <f t="shared" si="2"/>
        <v>180</v>
      </c>
    </row>
    <row r="16" spans="2:12" x14ac:dyDescent="0.35">
      <c r="B16" s="5">
        <v>44665</v>
      </c>
      <c r="C16" s="3" t="s">
        <v>10</v>
      </c>
      <c r="D16" s="3">
        <v>10</v>
      </c>
      <c r="E16" s="4">
        <v>3</v>
      </c>
      <c r="F16" s="2">
        <f>Purchases[[#This Row],[Unit Price]]*Purchases[[#This Row],[Qty Purchased]]</f>
        <v>30</v>
      </c>
      <c r="G16" s="2">
        <f>MIN(Purchases[[#This Row],[Qty Purchased]],SUMIFS(Sales[Quantity Sold],Sales[Item],Purchases[[#This Row],[Item]])-SUMIFS($G$3:G15,$C$3:C15,C16))</f>
        <v>0</v>
      </c>
      <c r="H16" s="2">
        <f t="shared" si="0"/>
        <v>10</v>
      </c>
      <c r="I16" s="2">
        <f t="shared" si="1"/>
        <v>0</v>
      </c>
      <c r="J16" s="6">
        <f t="shared" si="2"/>
        <v>30</v>
      </c>
    </row>
    <row r="17" spans="2:10" x14ac:dyDescent="0.35">
      <c r="B17" s="10">
        <v>44667</v>
      </c>
      <c r="C17" s="11" t="s">
        <v>9</v>
      </c>
      <c r="D17" s="11">
        <v>15</v>
      </c>
      <c r="E17" s="12">
        <v>3.5</v>
      </c>
      <c r="F17" s="13">
        <f>Purchases[[#This Row],[Unit Price]]*Purchases[[#This Row],[Qty Purchased]]</f>
        <v>52.5</v>
      </c>
      <c r="G17" s="13">
        <f>MIN(Purchases[[#This Row],[Qty Purchased]],SUMIFS(Sales[Quantity Sold],Sales[Item],Purchases[[#This Row],[Item]])-SUMIFS($G$3:G16,$C$3:C16,C17))</f>
        <v>0</v>
      </c>
      <c r="H17" s="13">
        <f t="shared" si="0"/>
        <v>15</v>
      </c>
      <c r="I17" s="13">
        <f t="shared" si="1"/>
        <v>0</v>
      </c>
      <c r="J17" s="14">
        <f t="shared" si="2"/>
        <v>52.5</v>
      </c>
    </row>
  </sheetData>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6AADC-03FD-4A40-8F74-9483B13219C7}">
  <dimension ref="B4:E14"/>
  <sheetViews>
    <sheetView showGridLines="0" zoomScale="59" workbookViewId="0">
      <selection activeCell="E26" sqref="E26"/>
    </sheetView>
  </sheetViews>
  <sheetFormatPr defaultRowHeight="14.5" x14ac:dyDescent="0.35"/>
  <cols>
    <col min="2" max="2" width="12" customWidth="1"/>
    <col min="3" max="3" width="11.90625" customWidth="1"/>
    <col min="4" max="4" width="14.08984375" customWidth="1"/>
    <col min="5" max="5" width="14.36328125" customWidth="1"/>
  </cols>
  <sheetData>
    <row r="4" spans="2:5" x14ac:dyDescent="0.35">
      <c r="B4" s="17" t="s">
        <v>13</v>
      </c>
      <c r="C4" s="20" t="s">
        <v>1</v>
      </c>
      <c r="D4" s="20" t="s">
        <v>14</v>
      </c>
      <c r="E4" s="16" t="s">
        <v>15</v>
      </c>
    </row>
    <row r="5" spans="2:5" x14ac:dyDescent="0.35">
      <c r="B5" s="5">
        <v>44563</v>
      </c>
      <c r="C5" s="3" t="s">
        <v>8</v>
      </c>
      <c r="D5" s="4">
        <v>34</v>
      </c>
      <c r="E5" s="21">
        <v>3</v>
      </c>
    </row>
    <row r="6" spans="2:5" x14ac:dyDescent="0.35">
      <c r="B6" s="5">
        <v>44566</v>
      </c>
      <c r="C6" s="3" t="s">
        <v>9</v>
      </c>
      <c r="D6" s="4">
        <v>20</v>
      </c>
      <c r="E6" s="21">
        <v>3.5</v>
      </c>
    </row>
    <row r="7" spans="2:5" x14ac:dyDescent="0.35">
      <c r="B7" s="5">
        <v>44569</v>
      </c>
      <c r="C7" s="3" t="s">
        <v>9</v>
      </c>
      <c r="D7" s="4">
        <v>13</v>
      </c>
      <c r="E7" s="21">
        <v>3.5</v>
      </c>
    </row>
    <row r="8" spans="2:5" x14ac:dyDescent="0.35">
      <c r="B8" s="5">
        <v>44572</v>
      </c>
      <c r="C8" s="3" t="s">
        <v>10</v>
      </c>
      <c r="D8" s="4">
        <v>12</v>
      </c>
      <c r="E8" s="21">
        <v>3.5</v>
      </c>
    </row>
    <row r="9" spans="2:5" x14ac:dyDescent="0.35">
      <c r="B9" s="5">
        <v>44575</v>
      </c>
      <c r="C9" s="3" t="s">
        <v>8</v>
      </c>
      <c r="D9" s="4">
        <v>66</v>
      </c>
      <c r="E9" s="21">
        <v>4</v>
      </c>
    </row>
    <row r="10" spans="2:5" x14ac:dyDescent="0.35">
      <c r="B10" s="5">
        <v>44594</v>
      </c>
      <c r="C10" s="3" t="s">
        <v>10</v>
      </c>
      <c r="D10" s="4">
        <v>5</v>
      </c>
      <c r="E10" s="21">
        <v>3.5</v>
      </c>
    </row>
    <row r="11" spans="2:5" x14ac:dyDescent="0.35">
      <c r="B11" s="5">
        <v>44594</v>
      </c>
      <c r="C11" s="3" t="s">
        <v>9</v>
      </c>
      <c r="D11" s="4">
        <v>10</v>
      </c>
      <c r="E11" s="21">
        <v>3.5</v>
      </c>
    </row>
    <row r="12" spans="2:5" x14ac:dyDescent="0.35">
      <c r="B12" s="5">
        <v>44621</v>
      </c>
      <c r="C12" s="3" t="s">
        <v>8</v>
      </c>
      <c r="D12" s="4">
        <v>3</v>
      </c>
      <c r="E12" s="21">
        <v>4</v>
      </c>
    </row>
    <row r="13" spans="2:5" x14ac:dyDescent="0.35">
      <c r="B13" s="5">
        <v>44623</v>
      </c>
      <c r="C13" s="3" t="s">
        <v>9</v>
      </c>
      <c r="D13" s="4">
        <v>4</v>
      </c>
      <c r="E13" s="21">
        <v>3.5</v>
      </c>
    </row>
    <row r="14" spans="2:5" x14ac:dyDescent="0.35">
      <c r="B14" s="10">
        <v>44623</v>
      </c>
      <c r="C14" s="11" t="s">
        <v>10</v>
      </c>
      <c r="D14" s="12">
        <v>10</v>
      </c>
      <c r="E14" s="22">
        <v>3.5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13951-8C5E-4AA6-8A52-49EC5876A8C2}">
  <dimension ref="A1:M17"/>
  <sheetViews>
    <sheetView workbookViewId="0">
      <selection activeCell="T7" sqref="T7"/>
    </sheetView>
  </sheetViews>
  <sheetFormatPr defaultRowHeight="14.5" x14ac:dyDescent="0.35"/>
  <cols>
    <col min="1" max="1" width="8.08984375" bestFit="1" customWidth="1"/>
    <col min="2" max="2" width="5.7265625" bestFit="1" customWidth="1"/>
    <col min="3" max="3" width="5.36328125" bestFit="1" customWidth="1"/>
    <col min="4" max="4" width="17.54296875" bestFit="1" customWidth="1"/>
    <col min="5" max="5" width="7.54296875" bestFit="1" customWidth="1"/>
    <col min="6" max="6" width="17.453125" bestFit="1" customWidth="1"/>
    <col min="8" max="8" width="16.81640625" bestFit="1" customWidth="1"/>
    <col min="9" max="9" width="3.81640625" bestFit="1" customWidth="1"/>
    <col min="11" max="11" width="12.453125" bestFit="1" customWidth="1"/>
    <col min="12" max="12" width="7.54296875" bestFit="1" customWidth="1"/>
    <col min="13" max="18" width="17.453125" bestFit="1" customWidth="1"/>
    <col min="19" max="19" width="12" bestFit="1" customWidth="1"/>
    <col min="20" max="20" width="22" bestFit="1" customWidth="1"/>
    <col min="21" max="22" width="15.6328125" bestFit="1" customWidth="1"/>
    <col min="23" max="23" width="10.36328125" bestFit="1" customWidth="1"/>
  </cols>
  <sheetData>
    <row r="1" spans="1:13" x14ac:dyDescent="0.35">
      <c r="A1" t="s">
        <v>16</v>
      </c>
      <c r="B1" t="s">
        <v>17</v>
      </c>
      <c r="C1" t="s">
        <v>18</v>
      </c>
      <c r="D1" t="s">
        <v>19</v>
      </c>
      <c r="E1" t="s">
        <v>20</v>
      </c>
      <c r="F1" t="s">
        <v>21</v>
      </c>
    </row>
    <row r="2" spans="1:13" x14ac:dyDescent="0.35">
      <c r="A2" s="23">
        <v>637</v>
      </c>
      <c r="B2" s="23">
        <v>478.4</v>
      </c>
      <c r="C2" s="23">
        <v>158.60000000000002</v>
      </c>
      <c r="D2" s="23">
        <v>206</v>
      </c>
      <c r="E2" s="23">
        <v>177</v>
      </c>
      <c r="F2" s="23">
        <v>383</v>
      </c>
    </row>
    <row r="4" spans="1:13" x14ac:dyDescent="0.35">
      <c r="H4" s="25" t="s">
        <v>27</v>
      </c>
      <c r="K4" s="25" t="s">
        <v>30</v>
      </c>
      <c r="L4" t="s">
        <v>20</v>
      </c>
      <c r="M4" t="s">
        <v>21</v>
      </c>
    </row>
    <row r="5" spans="1:13" x14ac:dyDescent="0.35">
      <c r="H5" s="26" t="s">
        <v>20</v>
      </c>
      <c r="I5" s="23">
        <v>177</v>
      </c>
      <c r="K5" s="26" t="s">
        <v>35</v>
      </c>
      <c r="L5" s="23">
        <v>145</v>
      </c>
      <c r="M5" s="23">
        <v>163</v>
      </c>
    </row>
    <row r="6" spans="1:13" x14ac:dyDescent="0.35">
      <c r="H6" s="26" t="s">
        <v>21</v>
      </c>
      <c r="I6" s="23">
        <v>383</v>
      </c>
      <c r="K6" s="26" t="s">
        <v>34</v>
      </c>
      <c r="L6" s="23">
        <v>15</v>
      </c>
      <c r="M6" s="23">
        <v>65</v>
      </c>
    </row>
    <row r="7" spans="1:13" x14ac:dyDescent="0.35">
      <c r="K7" s="26" t="s">
        <v>38</v>
      </c>
      <c r="L7" s="23">
        <v>17</v>
      </c>
      <c r="M7" s="23">
        <v>90</v>
      </c>
    </row>
    <row r="8" spans="1:13" x14ac:dyDescent="0.35">
      <c r="H8" s="28">
        <f>I5/I6</f>
        <v>0.46214099216710181</v>
      </c>
      <c r="K8" s="26" t="s">
        <v>31</v>
      </c>
      <c r="L8" s="23"/>
      <c r="M8" s="23">
        <v>65</v>
      </c>
    </row>
    <row r="9" spans="1:13" x14ac:dyDescent="0.35">
      <c r="K9" s="26" t="s">
        <v>29</v>
      </c>
      <c r="L9" s="23"/>
      <c r="M9" s="23"/>
    </row>
    <row r="10" spans="1:13" x14ac:dyDescent="0.35">
      <c r="K10" s="26" t="s">
        <v>37</v>
      </c>
      <c r="L10" s="23"/>
      <c r="M10" s="23"/>
    </row>
    <row r="11" spans="1:13" x14ac:dyDescent="0.35">
      <c r="K11" s="26" t="s">
        <v>36</v>
      </c>
      <c r="L11" s="23"/>
      <c r="M11" s="23"/>
    </row>
    <row r="12" spans="1:13" x14ac:dyDescent="0.35">
      <c r="K12" s="26" t="s">
        <v>32</v>
      </c>
      <c r="L12" s="23"/>
      <c r="M12" s="23"/>
    </row>
    <row r="13" spans="1:13" x14ac:dyDescent="0.35">
      <c r="K13" s="26" t="s">
        <v>41</v>
      </c>
      <c r="L13" s="23"/>
      <c r="M13" s="23"/>
    </row>
    <row r="14" spans="1:13" x14ac:dyDescent="0.35">
      <c r="K14" s="26" t="s">
        <v>40</v>
      </c>
      <c r="L14" s="23"/>
      <c r="M14" s="23"/>
    </row>
    <row r="15" spans="1:13" x14ac:dyDescent="0.35">
      <c r="K15" s="26" t="s">
        <v>39</v>
      </c>
      <c r="L15" s="23"/>
      <c r="M15" s="23"/>
    </row>
    <row r="16" spans="1:13" x14ac:dyDescent="0.35">
      <c r="K16" s="26" t="s">
        <v>33</v>
      </c>
      <c r="L16" s="23"/>
      <c r="M16" s="23"/>
    </row>
    <row r="17" spans="11:13" x14ac:dyDescent="0.35">
      <c r="K17" s="26" t="s">
        <v>28</v>
      </c>
      <c r="L17" s="23">
        <v>177</v>
      </c>
      <c r="M17" s="23">
        <v>383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F4ACC75D-DD87-4D66-AA0F-E994274CCB55}">
  <ds:schemaRefs/>
</ds:datastoreItem>
</file>

<file path=customXml/itemProps2.xml><?xml version="1.0" encoding="utf-8"?>
<ds:datastoreItem xmlns:ds="http://schemas.openxmlformats.org/officeDocument/2006/customXml" ds:itemID="{4A04205E-0BD5-47CE-9D9A-6C22260E7C62}">
  <ds:schemaRefs/>
</ds:datastoreItem>
</file>

<file path=customXml/itemProps3.xml><?xml version="1.0" encoding="utf-8"?>
<ds:datastoreItem xmlns:ds="http://schemas.openxmlformats.org/officeDocument/2006/customXml" ds:itemID="{01AAD76B-824F-4925-BEBC-10CC5B166BCC}">
  <ds:schemaRefs/>
</ds:datastoreItem>
</file>

<file path=customXml/itemProps4.xml><?xml version="1.0" encoding="utf-8"?>
<ds:datastoreItem xmlns:ds="http://schemas.openxmlformats.org/officeDocument/2006/customXml" ds:itemID="{9D6770B6-3185-449E-8EC4-FCBECD8B3249}">
  <ds:schemaRefs/>
</ds:datastoreItem>
</file>

<file path=customXml/itemProps5.xml><?xml version="1.0" encoding="utf-8"?>
<ds:datastoreItem xmlns:ds="http://schemas.openxmlformats.org/officeDocument/2006/customXml" ds:itemID="{4BC3D769-C0B0-4918-BB95-26834CE6E788}">
  <ds:schemaRefs/>
</ds:datastoreItem>
</file>

<file path=customXml/itemProps6.xml><?xml version="1.0" encoding="utf-8"?>
<ds:datastoreItem xmlns:ds="http://schemas.openxmlformats.org/officeDocument/2006/customXml" ds:itemID="{50D38F84-7876-4768-9484-284FF44F5F67}">
  <ds:schemaRefs/>
</ds:datastoreItem>
</file>

<file path=customXml/itemProps7.xml><?xml version="1.0" encoding="utf-8"?>
<ds:datastoreItem xmlns:ds="http://schemas.openxmlformats.org/officeDocument/2006/customXml" ds:itemID="{D4482EE8-E897-4F28-8221-17F0055B8787}">
  <ds:schemaRefs/>
</ds:datastoreItem>
</file>

<file path=customXml/itemProps8.xml><?xml version="1.0" encoding="utf-8"?>
<ds:datastoreItem xmlns:ds="http://schemas.openxmlformats.org/officeDocument/2006/customXml" ds:itemID="{9501FF4E-DA15-48C6-80C9-FC8A0CCB66AB}">
  <ds:schemaRefs/>
</ds:datastoreItem>
</file>

<file path=customXml/itemProps9.xml><?xml version="1.0" encoding="utf-8"?>
<ds:datastoreItem xmlns:ds="http://schemas.openxmlformats.org/officeDocument/2006/customXml" ds:itemID="{2AABAC16-4527-4D0C-8AF2-C73FE6BBB783}">
  <ds:schemaRefs/>
</ds:datastoreItem>
</file>

<file path=customXml/itemProps10.xml><?xml version="1.0" encoding="utf-8"?>
<ds:datastoreItem xmlns:ds="http://schemas.openxmlformats.org/officeDocument/2006/customXml" ds:itemID="{9990C42B-B001-4BEB-98B4-502FFFF958C3}">
  <ds:schemaRefs/>
</ds:datastoreItem>
</file>

<file path=customXml/itemProps11.xml><?xml version="1.0" encoding="utf-8"?>
<ds:datastoreItem xmlns:ds="http://schemas.openxmlformats.org/officeDocument/2006/customXml" ds:itemID="{DDCE6BA3-CAD7-42DD-B870-E718664F5794}">
  <ds:schemaRefs/>
</ds:datastoreItem>
</file>

<file path=customXml/itemProps12.xml><?xml version="1.0" encoding="utf-8"?>
<ds:datastoreItem xmlns:ds="http://schemas.openxmlformats.org/officeDocument/2006/customXml" ds:itemID="{F12C0D57-0593-414A-B1C7-A45FEF3157F1}">
  <ds:schemaRefs/>
</ds:datastoreItem>
</file>

<file path=customXml/itemProps13.xml><?xml version="1.0" encoding="utf-8"?>
<ds:datastoreItem xmlns:ds="http://schemas.openxmlformats.org/officeDocument/2006/customXml" ds:itemID="{2DE543A5-88A0-4F73-A1D1-04FEC3DEC769}">
  <ds:schemaRefs/>
</ds:datastoreItem>
</file>

<file path=customXml/itemProps14.xml><?xml version="1.0" encoding="utf-8"?>
<ds:datastoreItem xmlns:ds="http://schemas.openxmlformats.org/officeDocument/2006/customXml" ds:itemID="{4BDF8322-94CE-4EE5-AB26-48D991776A2B}">
  <ds:schemaRefs/>
</ds:datastoreItem>
</file>

<file path=customXml/itemProps15.xml><?xml version="1.0" encoding="utf-8"?>
<ds:datastoreItem xmlns:ds="http://schemas.openxmlformats.org/officeDocument/2006/customXml" ds:itemID="{AF2D4725-5C38-4E43-936D-DC4A343D691A}">
  <ds:schemaRefs/>
</ds:datastoreItem>
</file>

<file path=customXml/itemProps16.xml><?xml version="1.0" encoding="utf-8"?>
<ds:datastoreItem xmlns:ds="http://schemas.openxmlformats.org/officeDocument/2006/customXml" ds:itemID="{CB3BCEB6-0021-4F51-A21B-E073055CA59E}">
  <ds:schemaRefs/>
</ds:datastoreItem>
</file>

<file path=customXml/itemProps17.xml><?xml version="1.0" encoding="utf-8"?>
<ds:datastoreItem xmlns:ds="http://schemas.openxmlformats.org/officeDocument/2006/customXml" ds:itemID="{66B26489-03DD-4189-9E13-58452E9B52A5}">
  <ds:schemaRefs/>
</ds:datastoreItem>
</file>

<file path=customXml/itemProps18.xml><?xml version="1.0" encoding="utf-8"?>
<ds:datastoreItem xmlns:ds="http://schemas.openxmlformats.org/officeDocument/2006/customXml" ds:itemID="{908DB264-6D48-4B3A-A5B0-A817A9C55496}">
  <ds:schemaRefs/>
</ds:datastoreItem>
</file>

<file path=customXml/itemProps19.xml><?xml version="1.0" encoding="utf-8"?>
<ds:datastoreItem xmlns:ds="http://schemas.openxmlformats.org/officeDocument/2006/customXml" ds:itemID="{B165869A-3FF7-4FA6-ADEB-0869EE0179AA}">
  <ds:schemaRefs/>
</ds:datastoreItem>
</file>

<file path=customXml/itemProps20.xml><?xml version="1.0" encoding="utf-8"?>
<ds:datastoreItem xmlns:ds="http://schemas.openxmlformats.org/officeDocument/2006/customXml" ds:itemID="{07E999F9-55FB-4657-9895-01742146C2B4}">
  <ds:schemaRefs/>
</ds:datastoreItem>
</file>

<file path=customXml/itemProps21.xml><?xml version="1.0" encoding="utf-8"?>
<ds:datastoreItem xmlns:ds="http://schemas.openxmlformats.org/officeDocument/2006/customXml" ds:itemID="{3FDB1378-9574-43B3-A30A-9FC646DDA8A4}">
  <ds:schemaRefs/>
</ds:datastoreItem>
</file>

<file path=customXml/itemProps22.xml><?xml version="1.0" encoding="utf-8"?>
<ds:datastoreItem xmlns:ds="http://schemas.openxmlformats.org/officeDocument/2006/customXml" ds:itemID="{4019B20E-83BA-44CA-9692-1601C8CE149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Purchases</vt:lpstr>
      <vt:lpstr>Sales</vt:lpstr>
      <vt:lpstr>Calculations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Bernard Obeng Boateng</dc:creator>
  <cp:lastModifiedBy>Swati Kumari</cp:lastModifiedBy>
  <dcterms:created xsi:type="dcterms:W3CDTF">2025-01-10T06:44:29Z</dcterms:created>
  <dcterms:modified xsi:type="dcterms:W3CDTF">2026-03-17T11:32:41Z</dcterms:modified>
</cp:coreProperties>
</file>